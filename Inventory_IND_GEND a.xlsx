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cgiar-my.sharepoint.com/personal/archis_banerjee_cgiar_org/Documents/S4I/Policy Review/"/>
    </mc:Choice>
  </mc:AlternateContent>
  <xr:revisionPtr revIDLastSave="939" documentId="13_ncr:1_{CC590AB3-0668-9A44-A873-22BD711AED3E}" xr6:coauthVersionLast="47" xr6:coauthVersionMax="47" xr10:uidLastSave="{57429F16-1004-4364-AF68-38EB5C61E0E4}"/>
  <bookViews>
    <workbookView xWindow="28680" yWindow="1710" windowWidth="29040" windowHeight="15720" xr2:uid="{00000000-000D-0000-FFFF-FFFF00000000}"/>
  </bookViews>
  <sheets>
    <sheet name="Policies impact Area IV" sheetId="4" r:id="rId1"/>
    <sheet name="Search Strategy" sheetId="8" r:id="rId2"/>
    <sheet name="Potential Inclusions" sheetId="6" state="hidden" r:id="rId3"/>
    <sheet name="Potential Inclusions_03" sheetId="7" state="hidden" r:id="rId4"/>
    <sheet name="Potential Inclusions_01"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4" l="1"/>
  <c r="S17" i="4"/>
  <c r="S37" i="4"/>
  <c r="R37" i="4"/>
  <c r="R36" i="4"/>
  <c r="S31" i="4"/>
  <c r="R30" i="4"/>
  <c r="S24" i="4"/>
  <c r="S11" i="4"/>
  <c r="R11" i="4"/>
  <c r="S10" i="4"/>
  <c r="R9" i="4"/>
  <c r="S32" i="4" l="1"/>
  <c r="R41" i="4"/>
  <c r="S36" i="4"/>
  <c r="R38" i="4"/>
  <c r="S38" i="4"/>
  <c r="S34" i="4"/>
  <c r="R34" i="4"/>
  <c r="R32" i="4"/>
  <c r="R31" i="4"/>
  <c r="S28" i="4"/>
  <c r="S27" i="4"/>
  <c r="R27" i="4"/>
  <c r="S26" i="4"/>
  <c r="R26" i="4"/>
  <c r="R25" i="4"/>
  <c r="S23" i="4"/>
  <c r="S18" i="4"/>
  <c r="S16" i="4"/>
  <c r="S15" i="4"/>
  <c r="S14" i="4"/>
  <c r="S13" i="4"/>
  <c r="S12" i="4"/>
  <c r="S8" i="4"/>
  <c r="S7" i="4"/>
  <c r="R23" i="4"/>
  <c r="S5" i="4"/>
  <c r="S2" i="4"/>
  <c r="S21" i="4"/>
  <c r="R21" i="4"/>
  <c r="S20" i="4"/>
  <c r="R20" i="4"/>
  <c r="S19" i="4"/>
  <c r="R19" i="4"/>
  <c r="R18" i="4"/>
  <c r="R16" i="4"/>
  <c r="R15" i="4"/>
  <c r="R14" i="4"/>
  <c r="R13" i="4"/>
  <c r="R12" i="4"/>
  <c r="R10" i="4"/>
  <c r="S9" i="4"/>
  <c r="R8" i="4"/>
  <c r="R7" i="4"/>
  <c r="S6" i="4"/>
  <c r="R6" i="4"/>
  <c r="R5" i="4"/>
  <c r="S4" i="4"/>
  <c r="R4" i="4"/>
  <c r="S3" i="4"/>
  <c r="R3" i="4"/>
  <c r="R2" i="4"/>
  <c r="S41" i="4" l="1"/>
  <c r="S40" i="4"/>
  <c r="R40" i="4"/>
  <c r="S39" i="4"/>
  <c r="R39" i="4"/>
  <c r="R35" i="4" l="1"/>
  <c r="S35" i="4"/>
  <c r="R33" i="4"/>
  <c r="S33" i="4"/>
  <c r="S30" i="4" l="1"/>
  <c r="S29" i="4"/>
  <c r="R29" i="4"/>
  <c r="R28" i="4"/>
  <c r="S25" i="4"/>
  <c r="R24" i="4"/>
  <c r="R22" i="4"/>
  <c r="S2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Manohar, Swetha (IFPRI)</author>
  </authors>
  <commentList>
    <comment ref="S32" authorId="0" shapeId="0" xr:uid="{4440A3AB-4AF2-485E-B6F1-E38A1CDE22CE}">
      <text>
        <r>
          <rPr>
            <sz val="11"/>
            <color theme="1"/>
            <rFont val="Calibri"/>
            <family val="2"/>
            <scheme val="minor"/>
          </rPr>
          <t>Manohar, Swetha (IFPRI):
Think this is ok but not necessarily a policy doc. I tried looking and can't find anything either</t>
        </r>
      </text>
    </comment>
  </commentList>
</comments>
</file>

<file path=xl/sharedStrings.xml><?xml version="1.0" encoding="utf-8"?>
<sst xmlns="http://schemas.openxmlformats.org/spreadsheetml/2006/main" count="801" uniqueCount="649">
  <si>
    <t>Sl No</t>
  </si>
  <si>
    <t>Policy</t>
  </si>
  <si>
    <t>Year of adoption</t>
  </si>
  <si>
    <r>
      <t>Policy Duration</t>
    </r>
    <r>
      <rPr>
        <sz val="11"/>
        <color theme="1"/>
        <rFont val="Times New Roman"/>
        <family val="1"/>
      </rPr>
      <t xml:space="preserve"> (Duration of the policy (e.g., 2020–2025) or mention if it is ongoing.)</t>
    </r>
  </si>
  <si>
    <r>
      <t xml:space="preserve">Effective Date </t>
    </r>
    <r>
      <rPr>
        <sz val="11"/>
        <color theme="1"/>
        <rFont val="Times New Roman"/>
        <family val="1"/>
      </rPr>
      <t>(Date from which the policy came into effect.)</t>
    </r>
  </si>
  <si>
    <r>
      <t>Budget Allocation (if any) (</t>
    </r>
    <r>
      <rPr>
        <sz val="11"/>
        <color theme="1"/>
        <rFont val="Times New Roman"/>
        <family val="1"/>
      </rPr>
      <t>Indicate if there is any budget attached and its size or source.)</t>
    </r>
  </si>
  <si>
    <r>
      <t xml:space="preserve">Issuing Authority 
</t>
    </r>
    <r>
      <rPr>
        <sz val="11"/>
        <color theme="1"/>
        <rFont val="Times New Roman"/>
        <family val="1"/>
      </rPr>
      <t>(Government ministry or agency responsible for the policy.)</t>
    </r>
  </si>
  <si>
    <r>
      <t xml:space="preserve">Status
</t>
    </r>
    <r>
      <rPr>
        <sz val="11"/>
        <color theme="1"/>
        <rFont val="Times New Roman"/>
        <family val="1"/>
      </rPr>
      <t>e.g., Active, Draft, Repealed.</t>
    </r>
  </si>
  <si>
    <r>
      <t xml:space="preserve">Policy Type 
</t>
    </r>
    <r>
      <rPr>
        <sz val="11"/>
        <color theme="1"/>
        <rFont val="Times New Roman"/>
        <family val="1"/>
      </rPr>
      <t>(e.g., Law, Policy, Strategy, Action Plan, Guideline, rule etc.)</t>
    </r>
  </si>
  <si>
    <r>
      <t xml:space="preserve">Target Sub-sectors 
</t>
    </r>
    <r>
      <rPr>
        <sz val="11"/>
        <color theme="1"/>
        <rFont val="Times New Roman"/>
        <family val="1"/>
      </rPr>
      <t>(Specify which areas of agriculture the policy targets (e.g., crops, livestock, fisheries, irrigation, agribusiness).)</t>
    </r>
  </si>
  <si>
    <r>
      <t xml:space="preserve">Implementation Agency 
</t>
    </r>
    <r>
      <rPr>
        <sz val="11"/>
        <color theme="1"/>
        <rFont val="Times New Roman"/>
        <family val="1"/>
      </rPr>
      <t>(Ministry/departments/boards, etc..)</t>
    </r>
  </si>
  <si>
    <r>
      <t xml:space="preserve">Thematic Focus 
</t>
    </r>
    <r>
      <rPr>
        <sz val="11"/>
        <color theme="1"/>
        <rFont val="Times New Roman"/>
        <family val="1"/>
      </rPr>
      <t>(Brief description of the main themes or sectors covered (e.g., agriculture, forestry, gender, employment).)</t>
    </r>
  </si>
  <si>
    <r>
      <t xml:space="preserve">Key Provisions or Measures
</t>
    </r>
    <r>
      <rPr>
        <sz val="11"/>
        <color theme="1"/>
        <rFont val="Times New Roman"/>
        <family val="1"/>
      </rPr>
      <t>Summary of major policy actions or mechanisms introduced.</t>
    </r>
  </si>
  <si>
    <r>
      <t xml:space="preserve">Implementation Mechanism </t>
    </r>
    <r>
      <rPr>
        <sz val="11"/>
        <color theme="1"/>
        <rFont val="Times New Roman"/>
        <family val="1"/>
      </rPr>
      <t xml:space="preserve">(Description of how the policy is implemented (e.g., through specific programs, agencies, funding mechanisms)
</t>
    </r>
  </si>
  <si>
    <r>
      <t xml:space="preserve">Policy Linkages
</t>
    </r>
    <r>
      <rPr>
        <sz val="11"/>
        <color theme="1"/>
        <rFont val="Times New Roman"/>
        <family val="1"/>
      </rPr>
      <t>Related policies or alignment with international frameworks (e.g., SDGs, UNFCCC).</t>
    </r>
  </si>
  <si>
    <r>
      <t xml:space="preserve">Remarks 
</t>
    </r>
    <r>
      <rPr>
        <sz val="11"/>
        <color theme="1"/>
        <rFont val="Times New Roman"/>
        <family val="1"/>
      </rPr>
      <t>(Additional notes, such as challenges, reforms in progress, or relevance to global frameworks (e.g., SDGs).)</t>
    </r>
  </si>
  <si>
    <t>Link to Full Document</t>
  </si>
  <si>
    <t>Policy Document</t>
  </si>
  <si>
    <t>Mahatma Gandhi National Rural Employment Guarantee Act (MGNREGA)</t>
  </si>
  <si>
    <t>To enhance livelihood security in rural areas by providing at least 100 days of wage employment in a financial year to every household whose adult members volunteer to do unskilled manual work. It aims to create sustainable assets, improve water security, and empower rural women through guaranteed employment and childcare facilities at worksites.</t>
  </si>
  <si>
    <t>Ongoing</t>
  </si>
  <si>
    <t>Ministry of Rural Development</t>
  </si>
  <si>
    <t>Active</t>
  </si>
  <si>
    <t>Law (Act of Parliament) and Annual Master Circular</t>
  </si>
  <si>
    <t>Rural employment, water conservation, irrigation, afforestation, rural infrastructure</t>
  </si>
  <si>
    <t>Ministry of Rural Development, State Rural Development Departments, and Gram Panchayats</t>
  </si>
  <si>
    <t>Employment guarantee, social protection, rural development, gender equity</t>
  </si>
  <si>
    <t>Women’s participation averaged ~56.2% in FY 2022–23; budget allocations and timely wage payments remain a challenge; evolving Master Circular ensures responsiveness to gender priorities.</t>
  </si>
  <si>
    <t>Swachh Bharat Mission – Grameen (SBM-G)</t>
  </si>
  <si>
    <t>Aim to eliminate open defecation in rural India and implement solid &amp; liquid waste management. GESI goal includes enhancing women’s safety, dignity, and participation in sanitation activities.</t>
  </si>
  <si>
    <t>Ongoing (Phase II: 2020–21 to 2024–25)</t>
  </si>
  <si>
    <t>Phase II outlay ₹1.4 lakh Cr (2020–25); FY 2023‑24 BE ₹7,192 Cr</t>
  </si>
  <si>
    <t>National sanitation programme &amp; operational plan</t>
  </si>
  <si>
    <t>Rural sanitation, menstrual hygiene, waste management</t>
  </si>
  <si>
    <t>Public health, sanitation, gender empowerment</t>
  </si>
  <si>
    <t>Women report improved safety (~93%); programme faces ongoing challenges in sustaining ODF behaviour and waste management capacities at GP level</t>
  </si>
  <si>
    <t>Pradhan Mantri Jan Dhan Yojana (PMJDY)</t>
  </si>
  <si>
    <t>To ensure universal access to banking services—including savings, credit, insurance, pension, and financial literacy—with a focus on underserved households. Includes special facilities like zero-balance accounts, RuPay card, accident insurance, and overdraft, supporting GESI-sensitive financial inclusion.</t>
  </si>
  <si>
    <t>Ongoing (Phase I: 2014–2015; Phase II continued post 2018)</t>
  </si>
  <si>
    <t>No fixed annual budget; implemented via banking system and public sector support; cumulative deposits ₹2.31 lakh Cr (as of Aug 2024)</t>
  </si>
  <si>
    <t>Department of Financial Services, Ministry of Finance</t>
  </si>
  <si>
    <t>National mission and scheme-based financial inclusion program</t>
  </si>
  <si>
    <t>Savings, credit, insurance, pension, and financial literacy</t>
  </si>
  <si>
    <t>Department of Financial Services; Public and Regional Rural Banks; Business Correspondents/Public Sector Banks</t>
  </si>
  <si>
    <t>Public financial inclusion, social protection, women’s economic empowerment</t>
  </si>
  <si>
    <t>Linked to SDG 1 (No Poverty), SDG 5 (Gender Equality), SDG 8 (Decent Work), and SDG 10 (Reduced Inequalities); anchored in the JAM Trinity (Jan Dhan–Aadhaar–Mobile).</t>
  </si>
  <si>
    <t>Some account dormancy persists (~20% inactive accounts); efforts ongoing to increase usage of overdraft and insurance; recognized globally as a case study in digital financial inclusion.</t>
  </si>
  <si>
    <t>Deendayal Antyodaya Yojana – National Rural Livelihoods Mission (DAY‑NRLM)</t>
  </si>
  <si>
    <t>Ongoing (Phase I: 2011–16; Phase II and beyond ongoing)</t>
  </si>
  <si>
    <t>2011‑06‑15</t>
  </si>
  <si>
    <t>Core funding via Revolving Funds and Community Investment Fund; interest subvention on Self-Help Groups (SHGs) bank loans up to ₹5 L; 90.76 lakh Self-Help Groups (SHGs)s mobilized, 10.05 crore women members (as of Apr 2024)
Phase II outlay ₹1.4 lakh Cr (2020–25); FY 2023‑24 BE ₹7,192 Cr</t>
  </si>
  <si>
    <t>National mission for poverty alleviation &amp; livelihood enhancement</t>
  </si>
  <si>
    <t>Rural livelihoods, micro-enterprises, financial inclusion, agriculture support</t>
  </si>
  <si>
    <t>Livelihoods, gender empowerment, institutional development</t>
  </si>
  <si>
    <t>Linked to SDG 1 (No Poverty), SDG 5 (Gender Equality), SDG 8 (Decent Work); convergence with MGNREGA and Jal Jeevan Mission.</t>
  </si>
  <si>
    <t>Mobilized over 10 crore women across 90.76 lakh Self-Help Groups (SHGs)s; 54.25 % of person-days from women; ongoing institutional strengthening and enterprise diversification efforts.</t>
  </si>
  <si>
    <t>The Constitution (One Hundred and Twenty‑Eighth Amendment) Act, 2023 (Women’s Reservation Act)</t>
  </si>
  <si>
    <t>Ongoing (effective after next delimitation)</t>
  </si>
  <si>
    <t>2023‑09‑28</t>
  </si>
  <si>
    <t>No separate budget (implementation via Delimitation Commission &amp; Election Commission processes)</t>
  </si>
  <si>
    <t>Parliament of India (Ministry of Law &amp; Justice)</t>
  </si>
  <si>
    <t>Law (Constitutional Amendment Act)</t>
  </si>
  <si>
    <t>Parliamentary representation</t>
  </si>
  <si>
    <t>Government of India; Election Commission of India</t>
  </si>
  <si>
    <t>Women's political representation and empowerment</t>
  </si>
  <si>
    <t>Pradhan Mantri Ujjwala Yojana (PMUY)</t>
  </si>
  <si>
    <t>Ongoing (PMUY 1.0 launched May 1, 2016; Ujjwala 2.0 continued deployment through FY 2025–26)</t>
  </si>
  <si>
    <t>As of Mar 1, 2025: 10.33 crore active PMUY connections; ₹1,600 deposit subsidy per connection; Ujjwala 2.0 added 1.6 cr connections by Dec 2022; 75 lakh more approved and released by July 2024. Central budget: ₹12,100 Cr for LPG subsidy (incl. PMUY &amp; PAHAL) in FY 2025‑26.</t>
  </si>
  <si>
    <t>Ministry of Petroleum &amp; Natural Gas</t>
  </si>
  <si>
    <t>Social welfare/clean-energy scheme</t>
  </si>
  <si>
    <t>Clean cooking fuel access (household energy)</t>
  </si>
  <si>
    <t>Clean cooking, women empowerment, health, environment</t>
  </si>
  <si>
    <t>Linked to SDG 3 (Good Health), SDG 5 (Gender Equality), SDG 7 (Affordable Clean Energy); aligns with WHO guidelines.</t>
  </si>
  <si>
    <t>As of Mar 2025, ~32.94 Cr active LPG consumers; 4.43 cylinders/household/year average among PMUY users; key challenge remains refill affordability despite subsidies.</t>
  </si>
  <si>
    <t>Scheme for Adolescent Girls (SAG)</t>
  </si>
  <si>
    <t>To improve the nutritional, health, educational, and life‑skill status of adolescent girls (11–18 years), especially out‑of‑school girls, breaking intergenerational gender and nutrition disadvantage.</t>
  </si>
  <si>
    <t>2010‑04‑01</t>
  </si>
  <si>
    <t>Ministry of Women &amp; Child Development</t>
  </si>
  <si>
    <t>Supports adolescent nutrition, empowerment, gender equality, youth development</t>
  </si>
  <si>
    <t>Pradhan Mantri Matru Vandana Yojana (PMMVY)</t>
  </si>
  <si>
    <t>To provide conditional cash transfers to pregnant and lactating women (19+ years), especially from socio-economically vulnerable households, to support safe childbirth, improve maternal nutrition, promote institutional delivery, and encourage breastfeeding and child health. A ₹1,000 top-up is provided for the birth of a second girl child (under Mission Shakti).</t>
  </si>
  <si>
    <t>Centrally Sponsored Scheme (Conditional Cash Transfer)</t>
  </si>
  <si>
    <t>Maternal health, childcare, nutrition, welfare</t>
  </si>
  <si>
    <t>Maternal health, food security, women’s welfare, financial inclusion</t>
  </si>
  <si>
    <t>Coverage varies by state; challenges include exclusion due to documentation barriers and delays in DBT transfer; newer revisions under discussion for broader applicability.</t>
  </si>
  <si>
    <t>National Social Assistance Programme (NSAP)</t>
  </si>
  <si>
    <t>Centrally Sponsored Scheme</t>
  </si>
  <si>
    <t>Social pension, elderly care, disability support, family death benefit, food security</t>
  </si>
  <si>
    <t>Ministry of Rural Development; state rural/urban development agencies</t>
  </si>
  <si>
    <t>Welfare, social protection, gender &amp; disability inclusion</t>
  </si>
  <si>
    <t>Linked to SDG 1 (No Poverty), SDG 2 (Zero Hunger via Annapurna), SDG 5 (Gender Equality), SDG 10 (Reduced Inequalities); aligns with Article 41 of Constitution.</t>
  </si>
  <si>
    <t>Stand-Up India Scheme</t>
  </si>
  <si>
    <t>To foster entrepreneurship among Scheduled Castes (SC), Scheduled Tribes (ST), and women by facilitating access to bank loans for greenfield enterprises in manufacturing, services, trading, and agri-allied sectors.</t>
  </si>
  <si>
    <t>Ongoing (extended till 2025)</t>
  </si>
  <si>
    <t>Rs. 61,020 Cr sanctioned across ~2.67 L accounts as of March 17, 2025; women received ~₹43,984 Cr via ~1.91 L accounts; SC ₹9,747 Cr (46k accounts); ST ₹3,244 Cr (15k accounts).</t>
  </si>
  <si>
    <t>Central scheme / Credit facilitation programme</t>
  </si>
  <si>
    <t>Manufacturing, services, trading, agriculture‑allied enterprises</t>
  </si>
  <si>
    <t>Entrepreneurship, financial inclusion, social equity</t>
  </si>
  <si>
    <t>Challenges include loan uptake variation across regions; continued awareness campaigns needed.</t>
  </si>
  <si>
    <t>Pradhan Mantri Mudra Yojana (PMMY)</t>
  </si>
  <si>
    <t>2015‑04‑08</t>
  </si>
  <si>
    <t>Micro Units Development &amp; Refinance Agency (MUDRA), Ministry of Finance</t>
  </si>
  <si>
    <t>Central credit facilitation mission</t>
  </si>
  <si>
    <t>Micro‑enterprises in manufacturing, trading, services, agri‑allied (e.g., dairy, poultry, beekeeping)</t>
  </si>
  <si>
    <t>Micro‑enterprise financing, financial inclusion, gender &amp; social equity</t>
  </si>
  <si>
    <t>Linked with SDG 8 (Decent Work), SDG 10 (Reduced Inequalities), SDG 9 (Industry); complements PMJDY, Stand‑Up India, Startup India.</t>
  </si>
  <si>
    <t>Mission Shakti (Umbrella Scheme)</t>
  </si>
  <si>
    <t>To strengthen safety, security, and empowerment of women across the lifecycle through institutional convergence, integrated support services, and digitally tracked interventions—featuring sub-schemes “Sambal” (safety/security) and “Samarthya” (empowerment).</t>
  </si>
  <si>
    <t>2021–2026</t>
  </si>
  <si>
    <t>Centrally Sponsored Umbrella Scheme</t>
  </si>
  <si>
    <t>Gender-based violence prevention, women’s welfare, social protection, workforce participation</t>
  </si>
  <si>
    <t>Coverage expanding to underserved districts; further rollout of services (e.g., rural crèches, Nari Adalats); ongoing evaluations for improved convergence</t>
  </si>
  <si>
    <t>Mahila Kisan Sashaktikaran Pariyojana (MKSP)</t>
  </si>
  <si>
    <t>To empower rural women farmers by making systematic investments to enhance their participation, productivity, and capacity to create sustainable agriculture-based livelihoods; includes access to inputs, training, extension, credit, and gender-friendly technologies.</t>
  </si>
  <si>
    <t>Centrally sponsored; central share ₹847.48 Cr allocated for 84 projects (benefitting 3.6 million women farmers as of Dec 2019); current FY 2023‑24 central action plan ₹64 Cr (₹38.4 Cr central + ₹25.6 Cr state); central subsidy at 75% (90% NE/Hill)</t>
  </si>
  <si>
    <t>Sub‑component of National Rural Livelihoods Mission (Centrally Sponsored Scheme)</t>
  </si>
  <si>
    <t>Crops, horticulture, agro-processing, allied sectors</t>
  </si>
  <si>
    <t>Livelihoods, gender equity, empowerment, food security</t>
  </si>
  <si>
    <t>Strength lies in capacity-building and institutionalization; challenges include scaling quality training, measurement of long-term impact, and sustaining community institutions.</t>
  </si>
  <si>
    <t>POSHAN Abhiyaan (National Nutrition Mission)</t>
  </si>
  <si>
    <t>To reduce stunting, undernutrition, anemia, and low birth weight through convergence-driven, tech-enabled delivery of nutrition interventions targeting children (0–6 yrs), pregnant/lactating women, and adolescent girls, with emphasis on the first 1,000 days.</t>
  </si>
  <si>
    <t>Central nutrition mission / public health‐nutrition strategy</t>
  </si>
  <si>
    <t>Crops &amp; food systems via supplementary nutrition, food fortification, diet diversity</t>
  </si>
  <si>
    <t>Nutrition, maternal &amp; child health, gender equality, food security</t>
  </si>
  <si>
    <t>Pradhan Mantri Kisan Samman Nidhi (PM‑KISAN)</t>
  </si>
  <si>
    <t>To provide income support of ₹6,000/year to eligible land-holding farmer families via direct bank transfers, enhancing agricultural investment capacity and reducing dependence on informal credit; includes at least one woman per family.</t>
  </si>
  <si>
    <t>Ongoing (launched Feb 2019; continued)</t>
  </si>
  <si>
    <t>₹3.45 lakh Cr disbursed over 18 instalments; ₹22,000 Cr in 19th instalment (Feb 2025); 2.41 Cr female farmers in 19th instalment (~24.6%) benefitted</t>
  </si>
  <si>
    <t>Ministry of Agriculture &amp; Farmers Welfare</t>
  </si>
  <si>
    <t>Central income support scheme</t>
  </si>
  <si>
    <t>Crop production inputs and farm livelihoods</t>
  </si>
  <si>
    <t>Livelihood support, farm investment, gender-inclusive agriculture</t>
  </si>
  <si>
    <t>Laptops: digital platform adoption strong; ongoing challenges around inclusion of tenant farmers, KYC completion delays.</t>
  </si>
  <si>
    <t>Pradhan Mantri Kisan Maandhan Yojana (PM‑KMY)</t>
  </si>
  <si>
    <t>To provide a voluntary, contributory pension of ₹3,000/month to small and marginal farmers (aged 18–40) upon reaching 60, with equal Central Government matching contributions—aimed at livelihood security in old age.</t>
  </si>
  <si>
    <t>Ongoing (launched 12‑Sep‑2019; continues)</t>
  </si>
  <si>
    <t>2019‑09‑12</t>
  </si>
  <si>
    <t>24.66 lakh farmers enrolled (as of 25 Nov 2024); farmer contributions ₹55‑₹200/month (age-dependent), matched by Govt; ₹900 Cr budgeted in FY 19‑20.</t>
  </si>
  <si>
    <t>Central Sector Scheme</t>
  </si>
  <si>
    <t>Social security for aged farmers (no direct agri subsector).</t>
  </si>
  <si>
    <t>Social protection, livelihood resilience, gender‑inclusive finance</t>
  </si>
  <si>
    <t>Linked to SDG 1 (No Poverty), SDG 2 (Zero Hunger via farm stability), SDG 5 (Gender Equality through spousal/family pension); complements PM-KISAN.</t>
  </si>
  <si>
    <t>Initial enrolment slow (~24.7 lakh); challenges include awareness, formal beneficiary inclusion, and retention until pension age.</t>
  </si>
  <si>
    <t>National Livestock Mission (NLM)</t>
  </si>
  <si>
    <t>To enhance livestock sector growth and generate rural employment by supporting entrepreneurship, breed improvement, feed &amp; fodder development, extension, research, and livestock insurance, with special incentives for women Self-Help Groups (SHGs)s and entrepreneurs.</t>
  </si>
  <si>
    <t>Ongoing (Revised from FY 2021–22)</t>
  </si>
  <si>
    <t>Ministry of Fisheries, Animal Husbandry &amp; Dairying (DAHD)</t>
  </si>
  <si>
    <t>Livestock subsectors: poultry, small ruminants (goat, sheep), piggery, feed &amp; fodder</t>
  </si>
  <si>
    <t>Sexual reproductive livestock, rural livelihoods, gender inclusion, entrepreneurship</t>
  </si>
  <si>
    <t>Linked to SDG 1 (No Poverty), SDG 2 (Zero Hunger via livestock), SDG 5 (Gender Equality), SDG 8 (Decent Work).</t>
  </si>
  <si>
    <t xml:space="preserve">Challenges include limited reach in remote areas; periodic scheme revisions aim to enhance women’s uptake.  </t>
  </si>
  <si>
    <t>Sub-Mission on Agricultural Mechanization (SMAM)</t>
  </si>
  <si>
    <t>Support small/marginal farmers, women, and disadvantaged groups by increasing access to farm mechanization (including gender-friendly tools) to reduce drudgery and improve productivity.</t>
  </si>
  <si>
    <t>Machinery, mechanization, custom hiring, post-harvest equipment</t>
  </si>
  <si>
    <t>Agricultural mechanization, gender inclusion, agritech, rural livelihoods</t>
  </si>
  <si>
    <t>Pilot issues include variable state uptake; continuous revisions aim to expand women and youth inclusion.</t>
  </si>
  <si>
    <t>Deen Dayal Upadhyaya Grameen Kaushalya Yojana (DDU-GKY)</t>
  </si>
  <si>
    <t>2014‑09‑25</t>
  </si>
  <si>
    <t>Central allocation ~₹1,500 Cr (FY 2022–23); project funding ₹25,696–₹100,000 per trainee; total 16.9 L trained and 10.97 L placed over FY 2014–Nov 2024; ~1.5 million target youth; state share included.</t>
  </si>
  <si>
    <t>Centrally Sponsored Scheme / Placement‑Linked Skilling</t>
  </si>
  <si>
    <t>Rural employment, agri‑value chain, processing, service sectors</t>
  </si>
  <si>
    <t>Livelihoods, skill development, gender equality, youth employment</t>
  </si>
  <si>
    <t>Pradhan Mantri Kaushal Vikas Yojana (PMKVY)</t>
  </si>
  <si>
    <t>To provide industry-relevant skill certification and short-term training to youth (15–45 yrs), with priority for women and disadvantaged groups, to enhance employability and livelihood opportunities.</t>
  </si>
  <si>
    <t>2015‑07‑15</t>
  </si>
  <si>
    <t>Centrally Sponsored (Central &amp; State) / Training &amp; Certification</t>
  </si>
  <si>
    <t>Public employment, youth empowerment, gender-safe livelihoods</t>
  </si>
  <si>
    <t>Linked to SDG 4 (Skills), SDG 8 (Decent Work), SDG 5; aligned with Skill India mission.</t>
  </si>
  <si>
    <t>Challenges in quality/placement rate; PMKVY 4.0 introduced stronger monitoring, quality grading &amp; Skill India Digital integration.</t>
  </si>
  <si>
    <t>Attracting and Retaining Youth in Agriculture (ARYA)
Program</t>
  </si>
  <si>
    <t>Aim to attract and empower rural youth (mainly aged 15–35 yrs) to develop agri-entrepreneurship and retain them in agriculture/food systems through skill-building and business support.</t>
  </si>
  <si>
    <t>Ministry of Agriculture, Department of Agricultural Research and Education</t>
  </si>
  <si>
    <t>Government programme/extension intervention</t>
  </si>
  <si>
    <t>Agriculture &amp; allied agri-enterprises, food processing</t>
  </si>
  <si>
    <t>Thematic focus: agri-entrepreneurship, youth engagement, value chains</t>
  </si>
  <si>
    <t>Rashtriya Krishi Vikas Yojana - Remunerative Approaches for Agriculture and Allied Sectors Rejuvenation (RKVY-RAFTAAR) / Innovation &amp; Agri‑Entrepreneurship Development</t>
  </si>
  <si>
    <t>To promote agri‑innovation and entrepreneurship—especially among youth and women—by supporting incubators, startups, and agripreneurship through financial, technical, and mentorship mechanisms.</t>
  </si>
  <si>
    <t>Not earmarked separately; funded under Rashtriya Krishi Vikas Yojana (RKVY) – approx. ₹600 Cr allocated across components (2018‑24) per Ministry of Agriculture &amp; Farmers Welfare (DA&amp;FW) releases.</t>
  </si>
  <si>
    <t>Ministry of Agriculture &amp; Farmers Welfare (DA&amp;FW)</t>
  </si>
  <si>
    <t>Programme / Scheme</t>
  </si>
  <si>
    <t>Rural agribusiness, value chains, agri‑startups</t>
  </si>
  <si>
    <t>Agri‑innovation, entrepreneurship, gender/youth inclusion, value‑chain development</t>
  </si>
  <si>
    <t>Grant-in-aid to R‑ABIs; pre-seed (up to ₹5 L) &amp; seed-stage (up to ₹25 L) funding; incubator support; orientation and scaling via training, mentorship.
Key groups mentioned: Women, Youth 18-35, SC/ST via eligiblity under Rashtriya Krishi Vikas Yojana (RKVY)</t>
  </si>
  <si>
    <t>Links with SDG 5 (Gender), SDG 8 (Decent Work), SDG 9 (Innovation); complements National Agriculture Infra Financing Facility
(NAIF) and PM‑KISAN through agri‑value chain support.</t>
  </si>
  <si>
    <t>Press Information Bureau reported 173 women startups backed under scheme as of Dec 2021; continued expansion across states.</t>
  </si>
  <si>
    <t>Formation and Promotion of 10,000 Farmer Producer Organisations (FPOs)</t>
  </si>
  <si>
    <t>To build a holistic and broad-based supportive ecosystem for the formation of 10,000 FPOs across India—prioritizing the inclusion of women, small and marginal farmers, and SC/ST communities—to promote sustainable, income-oriented farming through collective agri–value chain participation, improved market access, and enhanced rural livelihoods.</t>
  </si>
  <si>
    <t>Rs 4,496 Cr (2020‑24) + committed liability Rs 2,370 Cr (2024‑28); total outlay Rs 6,866 Cr per scheme guidelines</t>
  </si>
  <si>
    <t>Priority to crop value-chain, storage, market linkages</t>
  </si>
  <si>
    <t>Agri-institutional development, gender/youth inclusion, rural livelihoods</t>
  </si>
  <si>
    <t>Mandatory inclusion of women, SC/ST, marginalized; at least one woman board member; 810 women-only FPOs; 686,665 women farmers in FPOs as on Jul 2024.
Key groups mentioned: Women, Youth 18-35, SC/ST, small and marginal farmers</t>
  </si>
  <si>
    <t>Aligned with SDG 5, SDG 8, SDG 2; converges with Agriculture Infrastructure Fund (AIF), One District-One Product initiative.</t>
  </si>
  <si>
    <t xml:space="preserve">As of 22 Jul 2024, 8,780 FPOs registered; 810 women-only FPOs; 686,665 women farmers involved </t>
  </si>
  <si>
    <t>Agriculture Infrastructure Fund (AIF)</t>
  </si>
  <si>
    <t>To strengthen post‑harvest and community farming infrastructure, reduce food losses, and support agri‑entrepreneurs—emphasizes inclusion of women and smallholder farmers.</t>
  </si>
  <si>
    <t>Ongoing (2020–21 to 2032–33)</t>
  </si>
  <si>
    <t>Central Sector Scheme (Financial Facility)</t>
  </si>
  <si>
    <t>Post‑harvest infrastructure: storage, cold chain, processing, packaging, custom hiring, community assets</t>
  </si>
  <si>
    <t>Ministry of Agriculture and Farmers' Welfare</t>
  </si>
  <si>
    <t>Agri‑infrastructure, rural livelihoods, value chains, gender inclusion</t>
  </si>
  <si>
    <t>Interest subvention 3% on loans up to ₹2 Cr for 7 years; credit guarantee cover under Credit Guarantee Fund Trust for Micro and Small Enterprises (CGTMSE); loans via banks. - Priority higher subsidy to women Self-Help Groups (SHGs)s/agri‑entrepreneurs (up to 21.6% of projects sanctioned to women) - Fund supports cold stores, warehouses, custom hiring centers, primary processing etc.
Key groups mentioned: women, youth 18-35, SC/ST.</t>
  </si>
  <si>
    <t>Linked to SDG 2 (Zero Hunger), SDG 8 (Decent Work), SDG 9 (Industry &amp; Infrastructure); converges with(Pradhan Mantri Kisan Urja Suraksha evam Utthaan Mahabhiyan (PM‑KUSUM), FPO scheme, Prime Minister Micro Food Processing Enterprises (PM FME).</t>
  </si>
  <si>
    <t>High uptake: as of Feb 2025 ₹55,683 projects sanctioned (₹36,250 Cr); ~21.6% female beneficiaries (~₹11,670 Cr loan value); evidence of reduced food loss and increased farmer income.</t>
  </si>
  <si>
    <t>Skill Training of Rural Youth (STRY)</t>
  </si>
  <si>
    <t>To impart short-term (7-day) vocational training in agriculture &amp; allied sectors to rural youth (18–35 yrs), farm women, and farmers, aiming to enhance employability and support wage/self-employment in rural food systems.</t>
  </si>
  <si>
    <t>Funded through the Agricultural Technology Management Agency (ATMA) cafeteria under the Sub-Mission on Agricultural Extension (SMAE); no separate national budget line. District-level allocations vary. Example: ₹89.04 Lakh allocated in FY 2023–24 in two Tamil Nadu districts</t>
  </si>
  <si>
    <t>Agri/vocational sectors across agriculture, horticulture, livestock, allied services</t>
  </si>
  <si>
    <t>Public–rural youth skill development, employment, agrifood system support</t>
  </si>
  <si>
    <t>Linked to SDG 2, SDG 8; converges under Agricultural Technology Management Agency (ATMA) and National Skill Mission.</t>
  </si>
  <si>
    <t>Over three years (2021–24), ~43,030 youth trained under STRY (10,456 in 2021‑22; 11,634 in 2022‑23; 20,940 in 2023‑24). Some district-level resource allocation are small (e.g., TN ₹1.26 L in 2023‑24, indicating potential underfunding).</t>
  </si>
  <si>
    <t>Namo Drone Didi</t>
  </si>
  <si>
    <t>To equip women-led Self-Help Groups (SHGs) with drones for precision agricultural services (spraying fertilizers and pesticides), aiming to boost rural livelihoods, agritech adoption, and income generation.</t>
  </si>
  <si>
    <t>2023 (announced), adopted 2024</t>
  </si>
  <si>
    <t>Ongoing (2024–2026)</t>
  </si>
  <si>
    <t>Ministry of Agriculture &amp; Farmers Welfare; Department of Rural Development; Department of Fertilizers</t>
  </si>
  <si>
    <t>Central Sector Scheme / Technology &amp; Livelihood</t>
  </si>
  <si>
    <t>Agricultural services (precision farming, spraying operations)</t>
  </si>
  <si>
    <t>Agritech, women’s empowerment, rural livelihoods</t>
  </si>
  <si>
    <t>80% capital subsidy on drones (up to ₹8 L); 15-day certified training; package includes insurance and maintenance; Self-Help Groups (SHGs)s expected to cover ~2,000–2,500 acres annually.
Key groups mentioned: Women, SC/ST</t>
  </si>
  <si>
    <t>Aligned with SDG 5 (Gender Equality), SDG 2 (Zero Hunger), SDG 8 (Decent Work); linked to Agriculture Investment Fund (AIF), National Rural Livelihood Mission (NRLM), and mechanization schemes.</t>
  </si>
  <si>
    <t>Implementation commenced in 2024; minor delays in procurement/logistics noted; rollout pace improving.</t>
  </si>
  <si>
    <t>Working Women’s Hostels</t>
  </si>
  <si>
    <t>To provide safe, affordable accommodation for working women (single, widowed, divorced, separated, married but separated) and their dependent children, with emphasis on women from disadvantaged sections; includes daycare support and safety infrastructure.</t>
  </si>
  <si>
    <t>1972-73 (scheme), Mission Shakti alignment from 2022</t>
  </si>
  <si>
    <t>1972-03-01 (initial launch) &amp; restructured 2022-04-01 (as Sakhi Niwas under Mission Shakti)</t>
  </si>
  <si>
    <t>Central allocation ₹5,000 Cr under Special Assistance to States for Capital Investment – Development of Iconic Tourist Centres to Global Scale (SASCI) 2024‑25; annual scheme allocation ₹500 Cr (2018–19) with declining utilization – Ministry of Women &amp; Child Dev.</t>
  </si>
  <si>
    <t>Ministry of Women &amp; Child Development (MWCD)</t>
  </si>
  <si>
    <t>Central Sector Scheme / Social Infrastructure</t>
  </si>
  <si>
    <t>Not directly applicable (enables participation in food/agriculture value chains through safe urban residence)</t>
  </si>
  <si>
    <t>MWCD; State Women and Child Development Departments; NGOs; Municipal Housing Boards</t>
  </si>
  <si>
    <t>Gender equality, women’s mobility, employment support, urban safety</t>
  </si>
  <si>
    <t>Aligned with SDG 5 (Gender Equality), SDG 11 (Safe Cities), Mission Shakti (SASCI component); enables women’s participation in economic sectors including food systems.</t>
  </si>
  <si>
    <t>Monitoring gaps in quality standards, uneven urban access, and delays in fund disbursal reported by Comptroller and Auditor General of India (CAG); reform guidelines under consideration.</t>
  </si>
  <si>
    <t>Sabla (Rajiv Gandhi Scheme for Empowerment of Adolescent Girls)</t>
  </si>
  <si>
    <t>To empower adolescent girls (11–18 yrs) through improved nutrition, health education, life‑skills, vocational training, and enabling social inclusion — with a stated aim to break inter‑generational nutritional and gender disadvantage.</t>
  </si>
  <si>
    <t>Nutrition, health, life skills, vocational training</t>
  </si>
  <si>
    <t>Health, nutrition, gender empowerment</t>
  </si>
  <si>
    <t>Aligned with SDG 2 (Nutrition) and SDG 5 (Gender Equality); complements PMMVY and POSHAN Abhiyaan.</t>
  </si>
  <si>
    <t>Implementation varies across states; service delivery challenges in remote areas noted</t>
  </si>
  <si>
    <t>Sexual Harassment of Women at Workplace (PoSH Act, 2013)</t>
  </si>
  <si>
    <t>To provide legal protection against sexual harassment for women in all workplaces (formal &amp; informal), establish Internal/Local Complaints Committees, mandate awareness, training, and safe procedures—strengthening women’s dignity, safety, and equitable participation in work including food-system sectors.</t>
  </si>
  <si>
    <t>No dedicated budget; costs borne by individual employers/public institutions per rules; annual compliance &amp; reporting requirements outlined by Ministry of Women and Child Development (MoWCD).</t>
  </si>
  <si>
    <t>Parliament of India, Ministry of Women &amp; Child Development (legal framework) &amp; Ministry of Labour &amp; Employment (implementation in unorganised sector)</t>
  </si>
  <si>
    <t>Law (Parliament Act + Rules)</t>
  </si>
  <si>
    <t>All sectors—formal and informal including agriculture, food processing, markets, education</t>
  </si>
  <si>
    <t>Thematic focus: workplace safety, gender equity, women’s rights &amp; labour dignity</t>
  </si>
  <si>
    <t>Defines sexual harassment; requires ICC establishment in workplaces with ≥10 employees; time-bound inquiry; penalties for non-compliance; mandatory awareness training.
Key groups mentioned: Women, youth SC/ST</t>
  </si>
  <si>
    <t>Implementation gaps persist in unorganised sector and small enterprises; govt drives compliance in educational institutions; greater focus needed in rural and informal agri‑food contexts.</t>
  </si>
  <si>
    <t>National Crèche Scheme / Palna Scheme under Mission Shakti</t>
  </si>
  <si>
    <t>Provide quality day-care (6 mo–6 yrs) to children of working women, enabling mothers’ employment and early childhood care including nutrition, health, stimulation, with GESI emphasis under Mission Shakti</t>
  </si>
  <si>
    <t>2006 (original); reorganized 2022 as Palna Scheme</t>
  </si>
  <si>
    <t>Ongoing (Centrally Sponsored Scheme)</t>
  </si>
  <si>
    <t>2006-01-01 (original launch); 2022-07-14 (Palna under Mission Shakti)</t>
  </si>
  <si>
    <t>Centrally Sponsored Scheme / Childcare &amp; Early Childhood Education</t>
  </si>
  <si>
    <t>Childcare for working women’s children aged 6 mo–6 yrs</t>
  </si>
  <si>
    <t>MWCD via Anganwadi Centres, standalone creches, state/Union Territory govts</t>
  </si>
  <si>
    <t>Public health, childcare, nutrition, gender equality</t>
  </si>
  <si>
    <t>Provides supplementary nutrition, health check-ups, growth monitoring, preschool stimulation, crèche infrastructure, trained caregivers, and creche-worker honoraria.
Key groups mentioned: women, SC/ST</t>
  </si>
  <si>
    <t>Funds and rollout vary across states; some delays in Anganwadi‑cum‑crèche establishment; ongoing expansion under Mission Shakti.</t>
  </si>
  <si>
    <t>Rashtriya Mahila Kosh (RMK)</t>
  </si>
  <si>
    <t>To provide collateral-free concessional micro-credit to poor and marginalized women—especially in rural/unorganized sectors—for livelihood, housing, enterprise, and family needs.</t>
  </si>
  <si>
    <t>Rs 31 Cr initial corpus (1993); increased to Rs 100 Cr in 2009‑10; serves ~6,000+ women per year under revised 2017‑18 guidelines</t>
  </si>
  <si>
    <t>Autonomous micro-finance institution</t>
  </si>
  <si>
    <t>Livelihoods, micro-enterprises, housing, family welfare</t>
  </si>
  <si>
    <t>MWCD through Intermediary Microfinance Organizations &amp; Self-Help Groups (SHGs)s</t>
  </si>
  <si>
    <t>Socio-economic empowerment of poor women (especially rural/unorganized)</t>
  </si>
  <si>
    <t>Concessional loans: main loans up to Rs 2 Cr, gold loans up to Rs 5 Cr, housing loans up to Rs 1 Lakh, working capital, gold credit—all via non-collateral Self-Help Groups (SHGs)s/IMOs.
Key groups mentioned: Women, SC/ST &amp; minority women</t>
  </si>
  <si>
    <t>Linked to SDG 5 (Gender Equality), SDG 1 (No Poverty); complements schemes like PMJDY and PMMY to expand credit access.</t>
  </si>
  <si>
    <t>Pending rationalisation—Govt decided in 2021 to wind down RMK, shifting to alternative credit channels.</t>
  </si>
  <si>
    <t>Support to Training &amp; Employment Programme for Women (STEP)</t>
  </si>
  <si>
    <t>Launched to mobilize marginalized rural and urban poor women into viable groups and provide skill training and credit access, enabling them to pursue sustainable livelihoods (including in agriculture, food processing, allied sectors). GESI mandate: prioritizes assetless, SC/ST, tribal women.</t>
  </si>
  <si>
    <t>₹15 Cr annual average central grant-in-aid (Budget demand book 2009‑10); administered via MWCD; total allocations vary annually.</t>
  </si>
  <si>
    <t>Central Sector Scheme / Skills &amp; Livelihoods</t>
  </si>
  <si>
    <t>Agriculture, horticulture, food processing, livestock, fisheries, handicrafts, allied sector enterprises</t>
  </si>
  <si>
    <t>MWCD through NGOs, PSUs, DRDAs, FPOs</t>
  </si>
  <si>
    <t>Women’s economic empowerment, livelihoods, gender inclusion</t>
  </si>
  <si>
    <t>Provides project funding to NGOs/PSUs/DRDAs for training, credit-linked income-generation projects in agriculture and allied sectors.
Key groups mentioned: Women 16+ years, SC/ST and tribal women</t>
  </si>
  <si>
    <t>Aligned with SDG 5 (Gender Equality), SDG 8 (Decent Work); supports self-employment in food system-linked sectors.</t>
  </si>
  <si>
    <t>Underfunded relative to need; periodic guideline updates (2014 revision); limited recent budgetary data transparency.</t>
  </si>
  <si>
    <t>One Stop Centre (OSC) Scheme</t>
  </si>
  <si>
    <t>To provide comprehensive, integrated support (medical, legal, psychosocial, police, shelter) to women and girls affected by violence in private/public spaces, enhancing safety and access to justice.</t>
  </si>
  <si>
    <t>2015–ongoing</t>
  </si>
  <si>
    <t>Ongoing (Phase I: 2015; Phase II expansion from 2016)</t>
  </si>
  <si>
    <t>Rs 629 Cr allocated under ‘Sambal’ vertical in Budget 2025–26 (ministry estimates)</t>
  </si>
  <si>
    <t>Centrally sponsored scheme / service delivery</t>
  </si>
  <si>
    <t>Gender-based violence response</t>
  </si>
  <si>
    <t>Women's safety, gender justice, social protection</t>
  </si>
  <si>
    <t>Establishment of OSCs (within hospitals/districts); staffing of 13 personnel per centre; referral linkages via helpline 181; integration with shelter homes (Shakti Sadans); service delivery under Mission Shakti's ‘Sambal’ vertical.
Key groups mentioned: women, under 18 year women, supports all women/girls regardless of caste/religion etc.</t>
  </si>
  <si>
    <t>Operational in 802 OSCs (as of Oct 2024), assisted ~1.01 million women; implementation variances across states; utilisation quality under review</t>
  </si>
  <si>
    <t>Swadhar Greh Scheme</t>
  </si>
  <si>
    <t>Provides temporary shelter, food, clothing, medical, legal aid, vocational training and counseling to women in difficult circumstances to facilitate rehabilitation and economic empowerment.</t>
  </si>
  <si>
    <t xml:space="preserve">FY 2016–17 BE ₹100 Cr; FY 2019–21 BE ₹50 Cr annually; trend continued FY 2022–23–BE ₹50 Cr </t>
  </si>
  <si>
    <t>Centrally Sponsored Scheme / Shelter &amp; Rehabilitation</t>
  </si>
  <si>
    <t>Not agriculture-specific; supports social welfare and recovery for vulnerable women</t>
  </si>
  <si>
    <t>SW &amp; CD Departments; NGOs; State WCD/Social Welfare Dept.; PRIs</t>
  </si>
  <si>
    <t>Social protection, women’s safety, rehabilitation</t>
  </si>
  <si>
    <t>Provides residential care for up to 1 yr (5 yr for 55+); services include vocational training, legal/clinical aid, counseling, life skills &amp; reintegration support.
Key groups mentioned: women, SC/ST, traficcking survivors and women in distress</t>
  </si>
  <si>
    <t>Supports UN SDG 5 (Gender Equality), SDG 1 (No Poverty); links with Mission Shakti and psychosocial rehabilitation/employment schemes.</t>
  </si>
  <si>
    <t>Capacity underutilization (~76%), limited funding—upgrades under Mission Shakti planned</t>
  </si>
  <si>
    <t>Mahila Police Volunteers (MPVs)</t>
  </si>
  <si>
    <t>To strengthen gender-responsive policing and provide community-based support to women in distress through trained female volunteers acting as the interface between police and community.</t>
  </si>
  <si>
    <t>Pilot (2016–2017) → mainstreamed under Mission Shakti (from April 2022)</t>
  </si>
  <si>
    <t>Under Nirbhaya Fund: allocation of ₹5–6 Cr annually (FY 2018–21) – Ministry of Finance/DEA, implemented by MWCD</t>
  </si>
  <si>
    <t>Ministry of Women &amp; Child Development (with MHA collaboration)</t>
  </si>
  <si>
    <t>Discontinued as standalone in Apr 2022; activities integrated in Mission Shakti</t>
  </si>
  <si>
    <t>Scheme / Community policing &amp; women safety</t>
  </si>
  <si>
    <t>Aim to cover all Gram Panchayats; expanded across 7 states/UTs by 2023</t>
  </si>
  <si>
    <t>MWCD, State Govts, Police Departments</t>
  </si>
  <si>
    <t>Local-level women’s safety, gender-based violence prevention, social inclusion</t>
  </si>
  <si>
    <t xml:space="preserve">Appointment &amp; training of female community volunteers; provided Rs 1,000/month stipend + travel/training allowances; recognition awards; formation of Mahila‑Shishu Rakshak Dals (community watch groups).
Key groups mentioned: Women ≥  21 years. SC/ST, volunteers specifically included under Nirbhaya. </t>
  </si>
  <si>
    <t>Linked with Mission Shakti (‘Sambal’ sub‑scheme) post-Apr 2022; aligns with SDG 5 (Gender Equality).</t>
  </si>
  <si>
    <t>National Policy for Empowerment of Women (2001)</t>
  </si>
  <si>
    <t>A comprehensive policy aimed at the advancement, development, and empowerment of women, including equal access to health, education, nutrition, participation in decision-making, and elimination of discrimination through affirmative action and institutional support.</t>
  </si>
  <si>
    <t>Not separately budgeted; implemented via National Mission for Empowerment of Women and convergence with existing MWCD schemes and programs</t>
  </si>
  <si>
    <t>National Policy / Framework</t>
  </si>
  <si>
    <t>Gender equity, social welfare, health, nutrition, education</t>
  </si>
  <si>
    <t>MWCD; National Mission for Empowerment of Women; convergence with other ministries</t>
  </si>
  <si>
    <t>Gender empowerment, social development, nutrition, education</t>
  </si>
  <si>
    <t>Establishes institutional mechanisms for empowerment, mandates gender mainstreaming in policy, budget and planning; encourages nutrition and education support for women across life cycles.
Key groups mentioned: Yes. Yes (adol girls 11-18)</t>
  </si>
  <si>
    <t>Foundational policy for gender mainstreaming; implementation challenges include sectoral uptake and funding clarity.</t>
  </si>
  <si>
    <t>Beti Bachao Beti Padhao (BBBP)</t>
  </si>
  <si>
    <t>To address the declining child sex ratio and promote survival, protection, and education of the girl child through coordinated efforts across ministries and levels of government; includes awareness generation, capacity building, and incentive-based interventions.</t>
  </si>
  <si>
    <t>Initial budget allocation of ₹100 Cr (2014–15); allocations continued annually under Ministry of Women and Child Development (MoWCD) schemes; FY 2022–23 RE ₹40 Cr (Ministry of Women and Child Development (MoWCD) Demands for Grants)</t>
  </si>
  <si>
    <t>Ministry of Women &amp; Child Development (MoWCD); with Ministry of Health &amp; Family Welfare and Ministry of Education</t>
  </si>
  <si>
    <t>National campaign / scheme</t>
  </si>
  <si>
    <t>Girl child education, early childhood care, community sensitization</t>
  </si>
  <si>
    <t>Ministry of Women and Child Development (MoWCD); State/UT WCD Departments; Local Administration; Convergent Ministries</t>
  </si>
  <si>
    <t>Child protection, gender equality, education, rights-based inclusion</t>
  </si>
  <si>
    <t>Multi-pronged strategy: IEC campaigns, community mobilization, enforcement of PCPNDT Act, monitoring child sex ratio, incentivizing girl child education; implementation in gender-critical districts.‘
Key groups mentioned: girls, underprepresent districts and SC/ST targeted IEC and outresarck</t>
  </si>
  <si>
    <t>CAG audit (2021) identified implementation inconsistencies; reforms initiated to improve targeting and fund utilization.</t>
  </si>
  <si>
    <t>The Constitution (One Hundred and Twenty-Eighth Amendment) Act, 2023 (Women’s Reservation Act)</t>
  </si>
  <si>
    <t>To provide for one-third reservation of seats for women in the Lok Sabha and State Legislative Assemblies, including within the seats reserved for Scheduled Castes and Scheduled Tribes, as a measure of political empowerment and gender inclusion.</t>
  </si>
  <si>
    <t>No direct budget allocation specified; implementation contingent on future delimitation and census cycles.</t>
  </si>
  <si>
    <t>Ministry of Law &amp; Justice, Government of India</t>
  </si>
  <si>
    <t>Constitutional Amendment (Law)</t>
  </si>
  <si>
    <t>Political representation</t>
  </si>
  <si>
    <t>Parliament of India; Election Commission of India</t>
  </si>
  <si>
    <t>Gender equality, political empowerment, constitutional inclusion</t>
  </si>
  <si>
    <t>Amends Articles 239AA, 330, and 332 to insert Articles 330A, 332A, and 334A; mandates 33% reservation of seats for women in Lok Sabha and State Legislative Assemblies (including SC/ST quota seats) for 15 years post-implementation.
Key groups mentioned: Women, SC/ST women</t>
  </si>
  <si>
    <t>Awaiting delimitation and census to activate provisions; discussions ongoing regarding timelines; builds on existing reservation frameworks in Panchayati Raj institutions.</t>
  </si>
  <si>
    <t>Protection of Women from Domestic Violence Act (PWDVA)</t>
  </si>
  <si>
    <t>To provide effective civil remedies (protection, residence, monetary relief, custody, compensation) to women (including wives, live-in partners, and female relatives) against all forms of domestic violence—physical, emotional, sexual, verbal, economic. Includes institutional support through Protection Officers and service providers.</t>
  </si>
  <si>
    <t>No separate central budget; implemented via MWCD and State social welfare departments; funding for Protection Officers and services typically allocated from state budgets and MWCD-linked schemes.</t>
  </si>
  <si>
    <t>Law (Act of Parliament)</t>
  </si>
  <si>
    <t>Not applicable (non-agricultural; civil protection law)</t>
  </si>
  <si>
    <t>MWCD; State Departments of Social Welfare; Protection Officers; Legal Services Authorities</t>
  </si>
  <si>
    <t>Gender-based violence prevention, civil remedies, women’s legal rights</t>
  </si>
  <si>
    <t>Provides civil protections (Protection Orders, Residence Orders, Monetary Relief, Custody Orders, Compensation) against domestic violence; mandates appointment of Protection Officers and linkages with shelter homes, legal aid, and healthcare.
Key groups mentioned: Women, SC/ST, other backward class (OBC) and other minorities</t>
  </si>
  <si>
    <t>Implementation gaps persist including insufficient Protection Officer staffing and awareness at the grassroots level.</t>
  </si>
  <si>
    <t>SMILE – Support for Marginalized Individuals for Livelihood &amp; Enterprise (including Transgender &amp; Begging Rehabilitation)</t>
  </si>
  <si>
    <t>Umbrella scheme providing rehabilitation, skills training, scholarships, shelter homes (Garima Greh), livelihood support and enterprise linkages for transgender persons and people engaged in begging. Launched with a GESI-sensitive approach.</t>
  </si>
  <si>
    <t>Ongoing (2022–2026)</t>
  </si>
  <si>
    <t>Ministry of Social Justice &amp; Empowerment</t>
  </si>
  <si>
    <t>Livelihood &amp; enterprise, social rehabilitation, skill development, education</t>
  </si>
  <si>
    <t>Thematic focus on livelihood, education, healthcare, dignity, social inclusion</t>
  </si>
  <si>
    <t>Sub-schemes: Transgender (scholarships, skill training, health, Garima Greh, protection cells); Begging rehabilitation (survey, rescue, shelter, skills, Self-Help Groups (SHGs) formation). Funding grants and capacity building.
Key groups mentioned: Women includ adult transgender women and those engaged in business, 18-35y, SC/ST, &amp; other vulnerable groups</t>
  </si>
  <si>
    <t>Linked to SDG 1, 5 &amp; 8; complements Transgender Persons Protection of Rights Act 2019; supports inclusive livelihood objectives.</t>
  </si>
  <si>
    <t>Piloting (12 Garima Greh) in 2021; expansion in 81 cities; implementation challenges include urban outreach.</t>
  </si>
  <si>
    <t>*GESI = Gender, Equality and Social Inclusion</t>
  </si>
  <si>
    <t>Methodology for Mapping National Policies on Gender Equality, Youth, and Inclusion in India</t>
  </si>
  <si>
    <t>Our approach to reviewing national-level policies and programs relevant to Gender Equality, Youth, and Social Inclusion (Gender Equality and Social Inclusion (GESI)) in India followed a structured, prompt-based workflow using ChatGPT, informed by an intersectional lens and food systems relevance criteria. The review aimed to identify and analyze centrally administered schemes that promote empowerment, address structural exclusion, or enhance representation and well-being of women, youth, and marginalized communities.</t>
  </si>
  <si>
    <t>Step 1: Curating a Thematic Seed List</t>
  </si>
  <si>
    <t>We began by identifying national policies, schemes, and legal frameworks with a stated or demonstrated relevance to GESI objectives. Our starting point included well-known programs targeting women, adolescents, youth skill development, legal protection, and social security. Initial selections were guided by thematic categories such as women’s safety, political and economic empowerment, maternal and child health, adolescent nutrition, and livelihood access.</t>
  </si>
  <si>
    <t>Step 2: Information Extraction Using a Policy Inventory Framework</t>
  </si>
  <si>
    <t>For each selected policy or program, we used a standardized prompt to extract detailed entries across a consistent set of dimensions. These included: objectives, year of adoption, duration, budget allocation, issuing authority, status, policy type, implementation agency, target sub-sectors (especially within food systems), thematic focus, GESI-targeted provisions, key measures, and implementation mechanisms. Each policy entry also included documentation links and remarks on its scope, alignment with SDGs, and implementation challenges.</t>
  </si>
  <si>
    <t>Step 3: Iterative Gap Identification and Supplementation</t>
  </si>
  <si>
    <t>To ensure completeness, we issued follow-up prompts to identify additional national programs that may have been overlooked but which significantly impact gender equity, adolescent well-being, or social inclusion outcomes—particularly in rural or food-system-adjacent sectors. This helped us incorporate overlooked but relevant schemes like the National Crèche Scheme, SWADHAR Greh, Mahila Police Volunteers, and the SMILE program.</t>
  </si>
  <si>
    <t>Step 4: Validation and Refinement</t>
  </si>
  <si>
    <t>We validated each entry through a multi-layered process:</t>
  </si>
  <si>
    <t>Policy/Programme</t>
  </si>
  <si>
    <t>Gender/Social Inclusion Relevance</t>
  </si>
  <si>
    <t>Food System Link</t>
  </si>
  <si>
    <t>Prioritizes women beneficiaries; reduces health burden</t>
  </si>
  <si>
    <t>Improves food preparation environment via clean cooking fuel</t>
  </si>
  <si>
    <t>Targets out-of-school adolescent girls (11-14 yrs)</t>
  </si>
  <si>
    <t>Provides supplementary nutrition and life skills</t>
  </si>
  <si>
    <t>Cash transfers for pregnant/lactating women</t>
  </si>
  <si>
    <t>Supports maternal nutrition and infant feeding</t>
  </si>
  <si>
    <t>Covers widows, elderly, disabled women</t>
  </si>
  <si>
    <t>Improves food access for vulnerable groups</t>
  </si>
  <si>
    <t>Focuses on women and SC/ST entrepreneurs</t>
  </si>
  <si>
    <t>Potential for women-led agri-processing and food retail</t>
  </si>
  <si>
    <t>Micro-loans for women entrepreneurs</t>
  </si>
  <si>
    <t>Supports women-led agri-food businesses and vending</t>
  </si>
  <si>
    <t>Mission Shakti</t>
  </si>
  <si>
    <t>Umbrella scheme on women's safety, health, empowerment</t>
  </si>
  <si>
    <t>Includes convergent nutrition and maternal support schemes</t>
  </si>
  <si>
    <t>Empowers women farmers via NRLM</t>
  </si>
  <si>
    <t>Builds capacity in agri-production, processing, collective marketing</t>
  </si>
  <si>
    <t>POSHAN Abhiyaan</t>
  </si>
  <si>
    <t>Targets maternal and child undernutrition</t>
  </si>
  <si>
    <t>Direct food system links through diet diversity, convergence platforms</t>
  </si>
  <si>
    <t>Pradhan Mantri Kisan Samman Nidhi (PM-KISAN)</t>
  </si>
  <si>
    <t>Gender-disaggregated reach; ~3.3 crore women beneficiaries</t>
  </si>
  <si>
    <t>Supports smallholder women farmers with cash transfers</t>
  </si>
  <si>
    <t>Pradhan Mantri Kisan Maandhan Yojana (PM-KMY)</t>
  </si>
  <si>
    <t>Voluntary pension for small/marginal farmers, including women</t>
  </si>
  <si>
    <t>Indirect support to aged women farmers' food security</t>
  </si>
  <si>
    <t>30% fund allocation for women beneficiaries</t>
  </si>
  <si>
    <t>Supports women in livestock production and dairy value chains</t>
  </si>
  <si>
    <t>30% budget for women; gender-friendly tools</t>
  </si>
  <si>
    <t>Enables women in mechanized farming, reduces drudgery</t>
  </si>
  <si>
    <t>Skill training for rural youth including women</t>
  </si>
  <si>
    <t>Prepares youth for agri-value chain jobs</t>
  </si>
  <si>
    <t>Market-aligned skill training for youth</t>
  </si>
  <si>
    <t>Supports entry into food processing, logistics, agriculture</t>
  </si>
  <si>
    <t>Attracting and Retaining Youth in Agriculture (ARYA)</t>
  </si>
  <si>
    <t>Promotes youth-led entrepreneurship in agriculture</t>
  </si>
  <si>
    <t>Direct agri-food sector engagement including value addition</t>
  </si>
  <si>
    <t>RKVY-RAFTAAR / Navodaya Agripreneurship</t>
  </si>
  <si>
    <t>Supports startups, ~448 women-led startups funded</t>
  </si>
  <si>
    <t>Innovation in food production, processing, agribusiness</t>
  </si>
  <si>
    <t>Formation and Promotion of 10,000 FPOs</t>
  </si>
  <si>
    <t>Provisions for women-led SHGs and women shareholders</t>
  </si>
  <si>
    <t>Women's collective participation in agri-value chains</t>
  </si>
  <si>
    <t>21.6% projects sanctioned to women, many agripreneurs</t>
  </si>
  <si>
    <t>Investments in storage, primary processing, logistics</t>
  </si>
  <si>
    <t>Targets rural youth including women artisans and farmers</t>
  </si>
  <si>
    <t>Promotes vocational training in agriculture, off-farm skills</t>
  </si>
  <si>
    <t>Distributes agri-drones to Women SHGs</t>
  </si>
  <si>
    <t>Builds technical capacity in precision farming and agri services</t>
  </si>
  <si>
    <t>Working Womenâ's Hostels</t>
  </si>
  <si>
    <t>Secure rural/urban accommodation for working women</t>
  </si>
  <si>
    <t>Linked to food sector employment (e.g., vendors, markets)</t>
  </si>
  <si>
    <t>Targets 11–18-year-old adolescent girls with supplementary nutrition, life skills, and health education</t>
  </si>
  <si>
    <t>Provides direct food-based support and nutrition via Anganwadi platforms</t>
  </si>
  <si>
    <t>Sexual Harassment of Women at Workplace Act (2013)</t>
  </si>
  <si>
    <t>Ensures safer working conditions for women across sectors</t>
  </si>
  <si>
    <t>Indirectly supports women's continued participation in agriculture, food processing, and market work</t>
  </si>
  <si>
    <t>National Crèche Scheme</t>
  </si>
  <si>
    <t>Enables informal and low-income women to participate in work (agriculture, markets) by offering childcare</t>
  </si>
  <si>
    <t>Facilitates labor participation in agriculture, food vending, and peri-urban retail</t>
  </si>
  <si>
    <t>Rashtriya Mahila Kosh</t>
  </si>
  <si>
    <t>Offers microcredit to low-income women, especially SHGs</t>
  </si>
  <si>
    <t>Supports women in agri-food microenterprises (vending, local food retail)</t>
  </si>
  <si>
    <t>Skill development in dairy, poultry, agro-processing, and traditional food-based enterprises</t>
  </si>
  <si>
    <t>Trains women in agri-food processing, preservation, and value chains</t>
  </si>
  <si>
    <t>One-Stop Centre Scheme</t>
  </si>
  <si>
    <t>Protection, legal, and health support to women in distress</t>
  </si>
  <si>
    <t>Indirect enabler for workplace safety and continued engagement in food-related employment</t>
  </si>
  <si>
    <t>SWADHAR Greh Scheme</t>
  </si>
  <si>
    <t>Shelter and reintegration services for abandoned or marginalized women</t>
  </si>
  <si>
    <t>Social safety net with indirect support to economic reintegration, possibly into agri-food or rural workspaces</t>
  </si>
  <si>
    <t>Mahila Police Volunteers</t>
  </si>
  <si>
    <t>Encourages women to act as gender-sensitization focal points at community level</t>
  </si>
  <si>
    <t>Indirect contribution to safer market spaces and agri-supply environments</t>
  </si>
  <si>
    <t>Provides a foundational gender-equity framework</t>
  </si>
  <si>
    <t>Indirect enabler for women’s food-system participation through access to land, credit, and property</t>
  </si>
  <si>
    <t>Promotes girl child survival, education, and empowerment</t>
  </si>
  <si>
    <t>Indirect nutrition impact through delayed marriage, education, and health behaviors</t>
  </si>
  <si>
    <t>The Constitution (128th Amendment) Act – Women’s Reservation (2023)</t>
  </si>
  <si>
    <t>Mandates one-third reservation for women in legislatures</t>
  </si>
  <si>
    <t>Indirect influence on food-policy decision-making and institutional gender responsiveness</t>
  </si>
  <si>
    <t>Women beneficiaries prioritized for LPG access; reduced drudgery and health burden in food preparation</t>
  </si>
  <si>
    <t>Direct link to household food preparation environment and cooking fuel transitions</t>
  </si>
  <si>
    <t>Targets out-of-school adolescent girls (11–14 yrs) with nutrition and life skills training</t>
  </si>
  <si>
    <t>Includes provision of supplementary nutrition, food-based support, and awareness of healthy diets</t>
  </si>
  <si>
    <t>Conditional cash transfer for pregnant/lactating women</t>
  </si>
  <si>
    <t>Supports maternal nutrition and infant feeding practices, linked to food access and intra-household allocation</t>
  </si>
  <si>
    <t>Covers widows, elderly, and disabled women via pensions</t>
  </si>
  <si>
    <t>Indirect support for food access/security for socially vulnerable groups</t>
  </si>
  <si>
    <t>Supports women and SC/ST entrepreneurs</t>
  </si>
  <si>
    <t>Potential for enterprise development in agri-processing, small-scale food retail, or rural food enterprises</t>
  </si>
  <si>
    <t>Facilitates micro-loans to women entrepreneurs</t>
  </si>
  <si>
    <t>Relevant for women-led food vending, agri-food microbusinesses, and value chain entry points</t>
  </si>
  <si>
    <t>Mission Shakti (includes Nutrition &amp; Safety sub-schemes)</t>
  </si>
  <si>
    <t>Umbrella scheme targeting safety, health, and empowerment</t>
  </si>
  <si>
    <t>Contains convergent nutrition components (with ICDS) for adolescent girls and mothers</t>
  </si>
  <si>
    <t>Targets women farmers through SHG-based collectives and livelihood strengthening</t>
  </si>
  <si>
    <t>Supports production, agroecology, value chain participation, and agricultural capacity building</t>
  </si>
  <si>
    <t>Focuses on pregnant women, lactating mothers, adolescent girls, and children</t>
  </si>
  <si>
    <t>Converges food-based supplementary nutrition services (ICDS), growth monitoring, and behavior change</t>
  </si>
  <si>
    <t>Income support to all small/marginal farmers, including female-headed households</t>
  </si>
  <si>
    <t>Enhances household-level financial capacity for food security and agri-input access</t>
  </si>
  <si>
    <t>Pension scheme for marginal farmers including women</t>
  </si>
  <si>
    <t>Promotes old-age income security for food producers, particularly land-poor and aging women farmers</t>
  </si>
  <si>
    <t>Women-targeted components in livestock training, backyard poultry, and dairy</t>
  </si>
  <si>
    <t>Supports animal source food production, women’s income through livestock rearing</t>
  </si>
  <si>
    <t>Offers mechanization subsidies and drudgery-reducing tools for women farmers</t>
  </si>
  <si>
    <t>Enhances women’s productivity in agricultural operations, reduces time poverty</t>
  </si>
  <si>
    <t>Secured accommodation for rural/urban working women</t>
  </si>
  <si>
    <t>Often linked to women employed in foodservice, markets, or agriculture-related casual labor (esp. in peri-urban areas)</t>
  </si>
  <si>
    <t>Deen Dayal Upadhyaya Grameen Kaushalya Yojana (DDU‑GKY)</t>
  </si>
  <si>
    <t>Launched Sept 2014 under NRLM; targets 15–35 yr rural youth; aims to diversify incomes via accredited skill training and job placements.</t>
  </si>
  <si>
    <t>Provides rural youth, potentially including those in agri-food chains, skill training and employment pathways in value-added sectors</t>
  </si>
  <si>
    <t>Launched July 2015 by Ministry of Skill Development &amp; Entrepreneurship; market-aligned short-term skill training for youth; publicly visible via official portal.</t>
  </si>
  <si>
    <t>Equips rural youth with employable skills, potentially benefiting food systems sectors like agri-processing, cold chain, logistics</t>
  </si>
  <si>
    <t>ICAR initiative to engage rural youth in agri-food chains; focus on value addition, entrepreneurship networks. Details in ICAR documentation.</t>
  </si>
  <si>
    <t>Directly aligns with agri-food production, processing, and youth agripreneurship</t>
  </si>
  <si>
    <t>RKVY-RAFTAAR / Navodaya Agripreneurship Programme</t>
  </si>
  <si>
    <t>A KRISHI Vikas Yojana sub-program; supports youth and students pursuing agripreneurship via incubation funding and mentorship. (Sanskriti IAS blog overview)</t>
  </si>
  <si>
    <t>Enables youth-led innovation in agriculture, building food system pathways from farm to market</t>
  </si>
  <si>
    <t>LPG connection + free first cylinder/stove; ₹1,600 deposit subsidy; targeted support to migrants under Ujjwala 2.0.
Key groups mentioned: women, SC/ST and migrant women</t>
  </si>
  <si>
    <t>Female reservation of ~33% seats—including reserved SC/ST seats—with rotation after delimitation; inserted Articles 330A, 332A, 334A.
Key groups mentioned: women, SC/ST</t>
  </si>
  <si>
    <t>Systemic support via women Self-Help Groups (SHGs)s; training in agro-ecological farming, livestock, value-addition; gender-friendly tools; capacity building of Community Resource Persons; infrastructure support.
Key groups mentioned: women (including landless women), SC/ST, minorities, tribal</t>
  </si>
  <si>
    <t>Implemented through loans channelled via Intermediary Microfinance Organisations and Women Self-Help Groups (SHGs)s; audited annually; loan guidelines revised 2017‑18 and advertised via national media.
GESI-specific: GESI focus through collateral-free loans to poor, SC/ST, minority women; capacity building of IMOs &amp; federation support.</t>
  </si>
  <si>
    <t>Implemented through MWCD guidelines (2016 &amp; 2020), state-level operationalization; central funding via Nirbhaya Fund.
GESI-specific: focus via gender-sensitive infrastructure, prioritization of girls (&lt;18yrs), training modules; universal access irrespective of minority identity.</t>
  </si>
  <si>
    <t>Implemented via state police and MWCD using Nirbhaya Fund; monitored through state/UT reports and LokSabha replies.
GESI-specific: GESI focus via Nirbhaya Fund prioritization, SC/ST volunteer targeting, gender-sensitive training.</t>
  </si>
  <si>
    <t>Implemented through State/UT-level District Task Forces, Village Committees, Beti Bachao resource centers, and convergence with frontline workers (Anganwadi, ASHA); monitored via Ministry of Women and Child Development (MoWCD) dashboard and state reports.
GESI-specific: includes mass awareness on gender-biased sex selection, girl-child education incentives, girl birth registration, and localized interventions in high-priority districts.</t>
  </si>
  <si>
    <t>Implemented through Protection Officers at district/block levels; relief granted via Magistrate Courts; institutional support from MWCD, State DWCDs, legal aid services, shelter homes.
GESI-specific: provides civil remedies and institutional mechanisms focused on GESI (Gender Equality and Social Inclusion); recognizes economic abuse; supports access to justice.</t>
  </si>
  <si>
    <t>Implementation to occur after the first delimitation exercise post-enactment of the Census; requires presidential notification and may need ratification by at least half of the states.
GESI-specific: constitutional guarantee of political participation for women from all groups; ensures reservation includes SC/ST women; viewed as a structural GESI intervention.</t>
  </si>
  <si>
    <t>Implemented via State/UT nodal agencies, NGOs, PRIs; central guidelines revised 2016
GESI-specific: nodal agencies ensure inclusion of vulnerable groups; tailored vocational training; coordination with Ujjwala, Skill India, Mission Shakti</t>
  </si>
  <si>
    <t>Implemented via MWCD funding to state/NGO/municipal agencies; site approvals, inspections, and utilization certificates monitored by MWCD.
GESI-specific: includes affirmative action for vulnerable groups (e.g., SC/ST), subsidized rental model, provision of child care and gender-sensitive hostel standards.</t>
  </si>
  <si>
    <t>Delimitation Commission to identify constituencies post-next census; requires state ratification (≥50% states) and Presidential notification.
GESI-specific: acts as a structural GESI measure by constitutionally empowering women; includes SC/ST women in vertical reservation.</t>
  </si>
  <si>
    <t>Delivered via Scheduled Commercial Banks, with at least one SC/ST and one woman borrower per branch annually; online portal for application/mentoring; Credit Guarantee Fund ensures collateral‑free credit.
GESI-specific: dedicated targeting of women, SC/ST; concessional margin money; handholding and mentoring built‑in.</t>
  </si>
  <si>
    <t>Ministry of Jal Shakti (MoJS), Dept. of Drinking Water &amp; Sanitation (DW&amp;S)</t>
  </si>
  <si>
    <t>MoJS (DW&amp;S), State DW&amp;S Depts, Gram Panchayats (GP)</t>
  </si>
  <si>
    <t>Constructed ~11.8 Cr Individual Household Latrines (IHHLs); &gt;95% villages Open Defecation Free (ODF); ~5.6 Lakh ODF Plus villages
Key groups mentioned: women, SC/ST/Others</t>
  </si>
  <si>
    <t>Implemented via bank branches and ~13.55 lakh Bank Mitras (Business Correspondents (BCs)); Aadhaar-enabled DBT integration; monitored via PMJDY Mission portal.
GESI-specific: woman-specific participation is high (~55.6% of account holders); inclusion emphasized via simplified documentation, doorstep BCs, and DBT targeting women account holders.</t>
  </si>
  <si>
    <t>Provides zero-balance accounts, RuPay debit card with ₹2 lakh accident insurance, overdraft facility (up to ₹10,000), Pradhan Mantri Jeevan Jyoti Bima Yojana (PMJJBY), PMSBY, and Atal Pension Yojana (APY) integration, Direct Benefit Transfer (DBT) linkage, financial literacy via Financial Literacy Centres (FLCs).
Key groups mentioned: women, SC/ST, rural, minority households</t>
  </si>
  <si>
    <t>Ministry of Rural Development (MoRD)</t>
  </si>
  <si>
    <t>To organize rural poor—especially women—into Self-Help Groups (SHGs) and strengthen these institutions to enhance livelihood opportunities, financial inclusion, and income sustainability with a GESI focus.</t>
  </si>
  <si>
    <t>To amend Articles 330 and 332 to reserve one‑third of seats in the Lok Sabha (House of the People – Lower House of India’s Parliament), State Legislative Assemblies, and Delhi Assembly for women—including SC/ST categories—effective post-delimitation, for 15 years.</t>
  </si>
  <si>
    <t>Linked with SDG 5 (Gender Equality) and Convention on the Elimination of All Forms of Discrimination Against Women (CEDAW) commitments; builds on panchayat reservation history under Articles Articles 243D/243T (Constitutional provisions for reservation in Panchayats and Municipalities).</t>
  </si>
  <si>
    <t>Ministry of Petroleum &amp; Natural Gas (MoPNG) via Oil Marketing Companies (OMCs) &amp; LPG distributors</t>
  </si>
  <si>
    <t>To provide free Liquefied Petroleum Gas (LPG) connections to adult women from economically disadvantaged households—especially SC/ST and migrant families—to promote clean cooking, reduce indoor air pollution, and empower women through time savings.</t>
  </si>
  <si>
    <t>Ongoing (revised under Saksham Anganwadi &amp; POSHAN 2.0: (POSHAN = Prime Minister’s Overarching Scheme for Holistic Nutrition) from 2022, phased district implementation)</t>
  </si>
  <si>
    <t>Not broken out separately; under Integrated Child Development Services (ICDS)/Mission Saksham Anganwadi &amp; POSHAN 2.0 allocation of ₹20,254 Cr for FY 2023‑24, covering SAG and related interventions (shared Centre‑State at 50:50 or 90:10 in NE/UTs)</t>
  </si>
  <si>
    <t>Supplementary nutrition (600 kcal/18–20 g protein for 300 days/year), Iron and Folic Acid (IFA) supplementation, health check-ups, life‑skill/vocational training, Kishori Health Card, Kishori Diwas, mainstreaming support.
Key groups mentioned: Girls, youth (11-18 years), SC/ST</t>
  </si>
  <si>
    <t>₹5,000 for first birth; average disbursal ~₹6,000 with Janani Suraksha Yojana (JSY) top-up; ₹18,929 Cr disbursed cumulatively as of June 2024; 53.76 lakh women reached in FY 2023–24.</t>
  </si>
  <si>
    <t>To provide minimum social security to socio-economically vulnerable households (Below Poverty Line (BPL)), specifically the elderly, widows, and persons with disabilities, through old-age, widow, disability pensions, family death benefit, and food support via Annapurna.</t>
  </si>
  <si>
    <t>Old-age pension for 60+ (₹200–₹500); widow pension (₹300–₹500); disability pension (₹300–₹500); lump-sum ₹20,000 family benefit; 10 kg free rice via Annapurna.
Key groups mentioned: women (widows), youth (18–29 years via disability scheme), SC/ST via Below Poverty Line (BPL) focus</t>
  </si>
  <si>
    <t>Challenges include low pension amounts, Below Poverty Line (BPL)-targeting exclusion errors; social audit guidelines (2023) strengthen transparency.</t>
  </si>
  <si>
    <t>Pensions: ₹200–₹500/month (central share; state contributes); National Family Benefit Scheme (NFBS): ₹20,000 lump sum; Annapurna: 10 kg free rice/month; &gt;29 million beneficiaries (2023); Central allocation ~₹9,636 Cr in FY 2023‑24; 15‑year budget envelope ₹47,808 Cr (2021–26).</t>
  </si>
  <si>
    <t>Direct Benefit Transfer (DBT) via National Social Assistance Programme–Pension Payment System (NSAP‑PPS); States implement under MoRD guidelines; direct pension to bank/post office accounts; monitored via social audits.
GESI-specific: widow-specific pension, disability pension with ≥80% disability, tribal/SC/ST included via Below Poverty Line (BPL) criteria; social audit mechanism improves accountability.</t>
  </si>
  <si>
    <t>Department of Financial Services, Ministry of Finance (MoF)</t>
  </si>
  <si>
    <t>Scheduled Commercial Banks, Small Industries Development Bank of India (Small Industries Development Bank of India (SIDBI))/National Bank for Agriculture and Rural Development (NABARD)) via Stand-Up Mitra (StandUpMitra) (online portal facilitating Stand-Up India scheme applications) platform</t>
  </si>
  <si>
    <t>Safety (Gender-Based Violence (GBV)), early childhood care, skill/income support, nutrition convergence</t>
  </si>
  <si>
    <t>Linked to SDG 5 (Gender), SDG 2 (Zero Hunger), SDG 8 (Decent Work); convergence with schemes like Agricultural Technology Management Agency (ATMA), Sub-Mission on Agricultural Extension (SMAE), National Food Security Mission (NFSM), Sub-Mission on Agricultural Mechanization (SMAM).</t>
  </si>
  <si>
    <t>Annual ₹6,000 in 3 instalments; Direct Benefit Transfer (DBT) via Aadhaar‑linked bank accounts; e-KYC via mobile/app; mobile app/chatbot for stewardship.
Key groups mentioned: women, SC/ST, Particularly Vulnerable Tribal Group (PVTG) via state registers</t>
  </si>
  <si>
    <t>Linked to SDG 1 (No Poverty), SDG 2 (Zero Hunger), SDG 5 (Gender Equality); complements other input support schemes (Kisan Credit Card (KCC), Pradhan Mantri Fasal Bima Yojana (PMFBY)).</t>
  </si>
  <si>
    <t>Central allocation: 30% earmarked for women beneficiaries; additional 10% subsidy for women on eligible machines; overall scheme allocation varies annually via Department of Agriculture &amp; Farmers Welfare (DA&amp;FW) under Rashtriya Krishi Vikas Yojana (RKVY). Ministry-level allocation example: ₹1,050 Cr (FY 2022‑23).</t>
  </si>
  <si>
    <t>Provides financial assistance for machinery, custom hiring centers, post-harvest equipment; training/testing/demonstration; gender-friendly implements; exposure visits.
Key groups mentioned: women, youth farmers &amp; entrepreneurs (18-35 years), SC/ST via Tribal Sub-Plan (TSP) provisions</t>
  </si>
  <si>
    <t>To provide placement‑linked skill development and sustainable wage employment for poor rural youth, with mandatory quotas for women, SC/ST, minorities and Persons with Disabilities (PwD)s; supports livelihood diversification and rural value‑chain engagement.</t>
  </si>
  <si>
    <t>Central &amp; State Governments via Ministry of Skill Development and Entrepreneurship (MSDE)/National Skill Development Corporation (NSDC)</t>
  </si>
  <si>
    <t>Short‑Term Training (STT) (200–500 hrs), Recognition of Prior Learning (RPL), Special Projects, Training of Trainers (ToT)/assessor training; mandatory ≥70% placement for STT.
Key groups mentioned: women (women quota priority), youth (15–45 years), SC/ST/Minorities/Persons with Disabilities (Divyangjan) quotas in special projects</t>
  </si>
  <si>
    <t>Rural/non‑rural skilling across sectors including agri‑value chain, food processing, Information Technology and Information Technology Enabled Services (IT‑ITeS), electronics, hospitality</t>
  </si>
  <si>
    <t>Ministry of Social Justice and Empowerment (MoSJE), State/UT social justice departments; NGOs; Community-Based Organization (CBO)s</t>
  </si>
  <si>
    <t>Supports SDG 5 (Gender Equality); aligned with Convention on the Elimination of All Forms of Discrimination Against Women (CEDAW) and Vishaka Guidelines; enables safer participation of women in agriculture/food value chains.</t>
  </si>
  <si>
    <t>Linked to SDG 5 (Gender Equality), UN Convention on the Elimination of All Forms of Discrimination Against Women (CEDAW); linked to Mission Shakti, Nirbhaya Fund.</t>
  </si>
  <si>
    <t>Supports SDG 5 (Gender Equality), Convention on the Elimination of All Forms of Discrimination Against Women (CEDAW), Beijing Platform for Action; underpins convergence in sectoral programs like health, education, agriculture, and nutrition.</t>
  </si>
  <si>
    <t>Aligned with SDG 5 (Gender Equality), SDG 4 (Education), and SDG 3 (Health); supports India’s commitment to Convention on the Elimination of All Forms of Discrimination Against Women (CEDAW) and child rights conventions.</t>
  </si>
  <si>
    <t>Aligned with SDG 5 (Gender Equality), SDG 16 (Inclusive Institutions); supports India’s commitments to Convention on the Elimination of All Forms of Discrimination Against Women (CEDAW) and global frameworks on political representation.</t>
  </si>
  <si>
    <t>Aligned with SDG 5 (Gender Equality), Convention on the Elimination of All Forms of Discrimination Against Women (CEDAW), and India's constitutional rights framework.</t>
  </si>
  <si>
    <t>Ministry of Agriculture and Farmers Welfare (MoA&amp;FW) via PM-KISAN portal, States/UTs, banks, Common Services Centre (CSC)s</t>
  </si>
  <si>
    <t>Rs 10,570 Cr allocated (total CSCM+Centrally Sponsored State Managed (CSSM) as of 31‑Mar‑2024); additional ₹1,538 Cr released in FY 24‑25; ~1.42 Cr trained, ~1.13 Cr certified; ~24.4 L placed till Mar 2024.</t>
  </si>
  <si>
    <t>Implemented through sub-missions: Breed Development; Feed &amp; Fodder Development; Research and Development (R&amp;D) &amp; Extension – via Department of Animal Husbandry and Dairying (DAHD) guidelines, NABARD channelizing finance, State livestock departments, Self-Help Groups (SHGs)s/FPOs.
GESI-specific: 50% capital subsidy for women Self-Help Groups (SHGs)s/entrepreneurs; success stories documenting women beneficiaries; targeted outreach for rural women.</t>
  </si>
  <si>
    <t>₹86,000 crore (Union Budget Estimate 2025–26) – Ministry of Finance, Government of India (GoI)</t>
  </si>
  <si>
    <t>Supports SDG 6 (Clean Water &amp; Sanitation), SDG 3 (Health), SDG 5 (Gender Equality); linked with Jal Jeevan Mission and Government of India (GoI) waste management policy</t>
  </si>
  <si>
    <t>Ministry of Women &amp; Child Development, Government of India (GoI)</t>
  </si>
  <si>
    <t>Fund allocation: ₹950 Cr (2017‑18), ₹3,061 Cr (2018‑19), ₹3,400 Cr (2019‑20); ~₹20,554 Cr under Saksham Anganwadi &amp; POSHAN 2.0: (POSHAN = Prime Minister’s Overarching Scheme for Holistic Nutrition) for 2023‑24 – Government of India (GoI) budget.</t>
  </si>
  <si>
    <t>Indian Council of Agricultural Research (ICAR)</t>
  </si>
  <si>
    <t>Linked to SDG 2 (agri‑growth) and SDG 8 (youth livelihoods); aligns with Indian Council of Agricultural Research (ICAR)’s rural outreach agenda.</t>
  </si>
  <si>
    <t>Centrally Sponsored Scheme / Integrated Child Development Services (ICDS) sub‑scheme</t>
  </si>
  <si>
    <t>Nutrition, health education, schooling transitions, life skills via Anganwadi Centres (Integrated Child Development Services (ICDS))</t>
  </si>
  <si>
    <t>Ministry of Women and Child Development (MoWCD) via Integrated Child Development Services (ICDS) network at Centre and State levels</t>
  </si>
  <si>
    <t>Linked to SDG 2 (Zero Hunger), SDG 3 (Good Health and Well-being), SDG 5 (Gender Equality); convergence with JSY, Integrated Child Development Services (ICDS), and Mission Shakti.</t>
  </si>
  <si>
    <t>Linked to SDG 5 (Gender Equality), SDG 3 (Health), SDG 8 (Decent Work); integrated with Integrated Child Development Services (ICDS), Saksham Anganwadi, PMMVY, Mission Vatsalya, and National Nutrition Mission</t>
  </si>
  <si>
    <t>₹400 crore was allocated in FY 2010–11 for implementation in 200 districts; funded as a sub-scheme under Integrated Child Development Services (ICDS) with shared cost between Centre and States.</t>
  </si>
  <si>
    <t>Centrally‑sponsored scheme (Integrated Child Development Services (ICDS) sub‑scheme)</t>
  </si>
  <si>
    <t>Linked to SDG 5 (Gender), SDG 8 (Decent Work), SDG 2 (Nutrition); aligned with Maternity Benefit Act (Section 11A), Integrated Child Development Services (ICDS), Mission Shakti.</t>
  </si>
  <si>
    <t>MWCD; State Women and Child Development Departments; District Admin; Integrated Child Development Services (ICDS); Police</t>
  </si>
  <si>
    <t>Convergent implementation via National Mission for Empowerment of Women and associated schemes such as Integrated Child Development Services (ICDS), PMMVY, Beti Bachao Beti Padhao; monitored by MWCD.
GESI-specific: includes positive discrimination, gender budgeting, targeted nutrition and education measures, and mandates collection of sex-disaggregated data.</t>
  </si>
  <si>
    <t>Two instalments: (1) During early pregnancy after Antenatal Care (ANC) check, registration &amp; Iron and Folic Acid (IFA) uptake; (2) Post institutional delivery. Meals also provided via Anganwadi during and after pregnancy. ₹1,000 incentive for second girl child birth under Mission Shakti.
Key groups mentioned: women, SC/ST, National Food Security Act (NFSA)-prioritized</t>
  </si>
  <si>
    <t>Tech-enabled Integrated Child Development Services (ICDS)‑CAS monitoring; Supplementary Nutrition; Poshan Maah/ Vatikas; Iron and Folic Acid (IFA) supplementation; first-1,000-days package; behaviour-change communication.
Key groups mentioned: women, girls (14–18 years), SC/ST, minorities via Integrated Child Development Services (ICDS) targeting</t>
  </si>
  <si>
    <t>Provides supplementary nutrition, Iron and Folic Acid (IFA) supplementation, health education, vocational/life‑skills training for out‑of‑school girls.
Key groups mentioned: Girl 11-18 years, SC/ST</t>
  </si>
  <si>
    <t>Selection &amp; vocational training (approx. 21 days); seed funding and enterprise establishment; Krishi Vigyan Kendra (KVK)-run demonstration units.
Key groups mentioned: Women, youth 15-35y.</t>
  </si>
  <si>
    <t>Run through Indian Council of Agricultural Research (ICAR) via Krishi Vigyan Kendra (KVK); state-level collaboration with Indian Council of Agricultural Research (ICAR) institutes &amp; Agricultural Universities; monitored via workshops and Krishi Vigyan Kendra (KVK) management information syststems.
GESI-specific: target age band (15–35), encouragement of women participants alongside men; entrepreneurship and Business Development Services (BDS) support for youth.</t>
  </si>
  <si>
    <t>Evidence of ~5,400 trained, ~1,050 enterprises started in pilot districts (Krishi Vigyan Kendra (KVK) pilot reports); scope to scale.</t>
  </si>
  <si>
    <t>Standardized 7-day training modules; 15 participants per batch; training on farming, livestock, mechanization, organic agriculture, post-harvest &amp; value addition.
Key groups mentioned: women farmers with a focus on women only trainings conducted by Krishi Vigyan Kendra (KVK)s, youth 18-35 years, SC/ST.</t>
  </si>
  <si>
    <t>Implemented in 25 states via Indian Council of Agricultural Research's  (Indian Council of Agricultural Research (ICAR)) Krishi Vigyan Kendras (Krishi Vigyan Kendra (KVK)s) translated into farm science centers, (1 district each); training ~200–300 youth per district annually, enterprise creation in poultry, goatery, nursery, beekeeping, etc. (Indian Council of Agricultural Research (ICAR) Krishi Vigyan Kendra (KVK) data).</t>
  </si>
  <si>
    <t>Ministry of Agriculture &amp; Farmers Welfare (via Agricultural Technology Management Agency (ATMA)/ State Agricultural Management and Extension Training Institutes (SAMETI)/National Institute of Agricultural Extension Management (MANAGE) )</t>
  </si>
  <si>
    <t xml:space="preserve">Krishi Vigyan Kendra (KVK)s, Agricultural Technology Management Agency (ATMA), State Agricultural Management and Extension Training Institutes (SAMETI), Farm Machinery Training and Testing Institutes (FMTTI), National Institute of Agricultural Extension Management (MANAGE) </t>
  </si>
  <si>
    <t>District-level implementation via Agricultural Technology Management Agency (ATMA)/State Agricultural Management and Extension Training Institutes (SAMETI); Krishi Vigyan Kendra (KVK)s, Farm Machinery Training and Testing Institutes (FMTTI), National Institute of Agricultural Extension Management (MANAGE)  provide training; Direct Benefit Transfer (DBT) for honorarium; monitored via Agricultural Technology Management Agency (ATMA) dashboards.
GESI-specific: inclusion of rural youth (18–35 yrs) and upskilling farm women; fee norms include support for marginalized.</t>
  </si>
  <si>
    <t>100 days guaranteed wage work annually; ≥33% job participation reserved for women; provision for worksite childcare; legal wage payment; transparency via social audits and Management Information System (MIS).
Key groups mentioned: women, youth (18–29 years (MGNREGA eligibility starts at 18, and “youth” as per national policy is capped at 29), Scheduled Castes (SC)/Scheduled Tribes (ST)</t>
  </si>
  <si>
    <t>Implemented through Gram Panchayats; demand-driven; funded jointly by central and state governments; monitored via e-FMS and national Management Information System (MIS); guided annually by a Master Circular.
GESI*-specific: provision for women’s participation, childcare, minimum job reservation; Management Information System (MIS) reports disaggregated by gender and caste.</t>
  </si>
  <si>
    <t>Multi-tier Centre–State–District–GP governance; fund sharing; guided by Phase II Operational Guidelines; monitored via Management Information System (MIS) &amp; Swachh Survekshan Grameen surveys
GESI-specific: minimum five women per village trained as water quality testers; Self-Help Groups (SHGs)‑led “Rani Mistries” involved in toilet construction; gender lens in Information, Education and Communication (IEC) campaigns</t>
  </si>
  <si>
    <t>Implemented through State Rural Livelihood Missions; trained community cadres; bank linkage with over ₹1.09 L Cr loans disbursed; Management Information System (MIS) reports via Aajeevika/NIRM Portal.
GESI-specific: GESI provisions include one-woman per Self-Help Groups (SHGs) household, women-majority Self-Help Groups (SHGs) federations, campaigns like “Sangathan Se Samriddhi” to include left-out women.</t>
  </si>
  <si>
    <t>Delivered via Anganwadi Centre (AWC) (Integrated Child Development Services (ICDS)) through Anganwadi Workers; monitored via Kishori Health Card, rapid reporting system; national/state Management Information System (MIS).
GESI-specific: special focus on out‑of‑school girls, wider age coverage (11–18), menstrual hygiene, vocational opportunities.</t>
  </si>
  <si>
    <t>Implemented through Executive Committee (EC)/National Steering Committee (NSC), State/District Executive Committees; Annual Action Plans; Direct Benefit Transfer (DBT); capacity building via Farm Machinery Training and Testing Institutes (FMTTI) and Indian Council of Agricultural Research (ICAR); monitored via Management Information System (MIS).
GESI-specific: 30% fund earmarking; additional 10% subsidy for women users; gender-friendly tools development; training quotas for women/youth.</t>
  </si>
  <si>
    <t>Implemented via Indian Council of Agricultural Research (ICAR)‑linked R‑ABIs managed by National Institute of Agricultural Extension Management (MANAGE) /Agricultural Technology Application Research Institute (ATARI)/Krishi Vigyan Kendra (KVK)s; funds channeled from Ministry of Agriculture &amp; Farmers Welfare (DA&amp;FW) ↔ Rashtriya Krishi Vikas Yojana (RKVY)‑Management Information System (MIS) ↔ Grantee reports.
GESI-specific: special support to women-led startups (173 supported by Dec 2021) &amp; youth agripreneurs; orientation stipends; SC/ST eligibility criteria.</t>
  </si>
  <si>
    <t>Cluster-based formation via Cluster-based business organizations (CBBO) with incubation, equity grants, credit guarantee, capacity building; national management via Small Farmers Agri-business Consortium (SFAC),  National Cooperative Development Corporation (NCDC), National Bank for Agriculture and Rural Development (NABARD).  + National Project Management Agency (NPMA); Management Information System (MIS) &amp; portal monitoring.
GESI-specific: GESI mechanisms include reserved board seat(s) for women, focus on women self-help groups, SC/ST farmers per clauses 4.4 &amp; 11.3.</t>
  </si>
  <si>
    <t>Finance through banks/National Bank for Agriculture and Rural Development (NABARD); interest subvention &amp; credit guarantee funded centrally; project selection via district/state levels; monitored via Management Information System (MIS) portal &amp; periodic government releases.
GESI-specific: GESI measures include higher subsidy rates or outreach targets for women, SC/ST, smallholders; youth inclusion encouraged via agri‑entrepreneurship targeting 18–35.</t>
  </si>
  <si>
    <t>Implemented by States through cluster selection; procurement via empaneled LFCs; funding gap met via Agriculture Infrastructure Fund (AIF) loan with 3% interest subvention; monitored via Drone Management Information System (MIS) portal.
Women Self-Help Groups (SHGs) prioritization; SC/ST and minority SHGs participation built in; gender-responsive design in training and delivery.</t>
  </si>
  <si>
    <t>Delivered through Anganwadi Centres under Integrated Child Development Services (ICDS) in 200 districts; monitored via Integrated Child Development Services (ICDS) Management Information System (MIS) and annual WCD reports. 
GESI-specific: includes gender‑targeted provisions: focuses on girls’ retention, empowerment through life skills, nutrition support.</t>
  </si>
  <si>
    <t>Implemented via MWCD in convergence with Integrated Child Development Services (ICDS) and Mission Shakti; 60:40 funding (90:10 NE/Special states); monitored via Mission Shakti Management Information System (MIS) and MWCD reports.
GESI-specific: GESI emphasis via safe, women‑friendly childcare, proximity to workplaces; SC/ST/disadvantaged prioritized; flexible timings support women workers.</t>
  </si>
  <si>
    <t>Implemented via grant-in-aid to NGOs, Public Sector Undertakings (PSUs), District Rural Development Agency (DRDA); training delivered by accredited institutions; recurrent Management Information System (MIS) and monitoring by Minsstry of Women and Child Development with periodic guideline revisions
GESI-specific: includes explicit provisions for SC/ST, tribal women; supports collective livelihoods models; promotes access to credit linkages.</t>
  </si>
  <si>
    <t>Ministry of Agriculture and Farmers Welfare (MoA&amp;FW) via Common Services Centre (CSC)s, State officials, Life Insurance Corporation of India (LIC) (fund manager)</t>
  </si>
  <si>
    <t>Ministry of Women and Child Development (MoWCD) through Anganwadi Centres (ICDS); health outreach by Ministry of Health and Family Welfare (MoHFW) ; convergence committees at all levels</t>
  </si>
  <si>
    <t>Ministry of Women and Child Development (MoWCD) via Integrated Child Development Services (ICDS) network and PMMVY national/state portals</t>
  </si>
  <si>
    <t>Delivered via Anganwadi Centres and integrated Integrated Child Development Services (ICDS) platform; funds disbursed via Direct Benefit Transfer (DBT) into Aadhaar-linked accounts; monitored through Ministry of Women and Child Development (MoWCD)'s PMMVY portal and state-level Management Information System (MIS).
GESI-specific: women beneficiaries prioritized; SC/ST targeting via National Food Security Act (NFSA); top-up for second girl child promotes gender balance; excludes women in regular employment/benefiting from other maternity schemes.</t>
  </si>
  <si>
    <t xml:space="preserve"> ₹3,150 Cr in FY 2025–26 (Ministry of Women and Child Development (MoWCD) Budget Estimate (BE)), includes One-Stop Centres, Palna Crèche, Working Women’s Hostels, Beti Bachao Beti Padhao, Women Helpline 181, Swadhar Greh</t>
  </si>
  <si>
    <t>Ministry of Women and Child Development (MoWCD) with State/Union Territory (UT) governments, District Women Cells and implementing partners</t>
  </si>
  <si>
    <t>Integrated Child Development Services (ICDS)/Child Development Project Officers (CDPO)/ Anganwadi workers AWC (Ministry of Women and Child Development (MoWCD)), State WCD departments, supporting NGOs</t>
  </si>
  <si>
    <t>Employers across public/private sectors; ICCs &amp; Local Committees under Ministry of Women and Child Development (MoWCD)/Ministry of Labour</t>
  </si>
  <si>
    <t>Employers/public institutions must form ICCs; SHe‑Box online portal (Ministry of Women and Child Development (MoWCD)); annual reports to District Officer; fines for non-compliance up to ₹50,000; broader sanction mechanisms via District Authorities.
GESI-specific: cover extended to all women including interns, domestic workers, clients; mandatory awareness/training; confidentiality and protection against victimization.</t>
  </si>
  <si>
    <t>FY 2024–25: ₹150.11 Cr allocated; ₹43.66 Cr released up to Dec 2024 – Ministry of Women and Child Development (MoWCD) budget data</t>
  </si>
  <si>
    <t>Linked with SDG 8 (Decent Work), SDG 9 (Industry/Innovation), SDG 10 (Reduced Inequality); convergence with Startup India and other Micro, Small and Medium Enterprises (MSME) programmes.</t>
  </si>
  <si>
    <t>Significant outreach but challenges include repayment defaults in Tarun segment; future focus on strengthening digital onboarding and Micro, Small and Medium Enterprises (MSME) capacity building.</t>
  </si>
  <si>
    <t>Micro Units Development and Refinance Agency (MUDRA) via Micro Loan Institutions (MLIs) (Scheduled Commercial Banks (SCBs), Regional Rural Banks (RRBs), Non-Banking Financial Companies (NBFCs), Micro Finance Institutions (MFIs)) with Credit Guarantee Fund for Micro Units (CGFMU) guarantee</t>
  </si>
  <si>
    <t>Rural Livestock Entrepreneurs, Self-Help Groups (SHGs)s, Farmer Producer Organisation (FPO)s, cooperatives; State livestock departments, National Bank for Agriculture and Rural Development (NABARD), banks</t>
  </si>
  <si>
    <t>Dept. of Agriculture &amp; Farmers Welfare, State Agriculture Departments, Farm Machinery Training and Testing Institutes (FMTTI), Indian Council of Agricultural Research (ICAR), Agricultural Technology Management Agency (ATMA), National Bank for Agriculture and Rural Development (NABARD), banks.</t>
  </si>
  <si>
    <t>Linked to SDG 2 (Zero Hunger), SDG 5 (Gender Equality), SDG 8 (Decent Work); integrated with Rashtriya Krishi Vikas Yojana (RKVY), Mission for Integrated Development of Horticulture (MIDH), National Food Security Mission (NFSM).</t>
  </si>
  <si>
    <t>Ministry of Women &amp; Child Development (MoWCD); implemented with Ministry of Health and Family Welfare (MoHFW), National Institution for Transforming India (NITI Aayog)</t>
  </si>
  <si>
    <t>Linked with SDG 2 (Zero Hunger), SDG 3 (Health), SDG 5 (Gender Equality); aligns with National Nutrition Strategy, National Food Security Act (NFSA), Integrated Child Development Services (ICDS); uses Information and Communication Technology (ICT)-enabled convergence per National Institution for Transforming India (NITI Aayog) guidelines.</t>
  </si>
  <si>
    <t>Evaluation by National Institution for Transforming India (NITI Aayog) (Dec 2023) noted implementation gaps but integration into Mission Shakti strengthened structure</t>
  </si>
  <si>
    <t>Central allocation ₹800 Cr for National Livestock Mission (NLM) (Budget Estimate 2025–26); capital subsidies: 50 % support (up to ₹25 L per unit for poultry/sheep/goat/piggery entrepreneurs); feed &amp; fodder, Research and Development (R&amp;D), insurance, extension funded.</t>
  </si>
  <si>
    <t>Aligned with SDG 1 (No Poverty), SDG 5 (Gender Equality), SDG 8 (Decent Work); also linked to national programs like Jal Shakti Abhiyan and National Rural Livelihoods Mission (NRLM).</t>
  </si>
  <si>
    <t>Ministry of Rural Development; implemented under DAY‑National Rural Livelihoods Mission (NRLM)</t>
  </si>
  <si>
    <t>Ministry of Rural Development (MoRD) via State Rural Livelihood Missions (SRLMs) &amp; Project Implementing Agencies under National Rural Livelihoods Mission (NRLM)</t>
  </si>
  <si>
    <t>Ministry of Rural Development (MoRD) National Unit; State Missions; Project Implementing Agencies (PIAs) under National Rural Livelihoods Mission (NRLM)</t>
  </si>
  <si>
    <t>Linked to SDG 1, 5, 8; aligned with Skill India Initiative, National Rural Livelihoods Mission (NRLM) convergence.</t>
  </si>
  <si>
    <t>₹1,261 crore central allocation for 15,000 drones under Ministry of Agriculture &amp; Farmers Welfare (DA&amp;FW) – implementation via National Rural Livelihoods Mission (DAY-National Rural Livelihoods Mission (NRLM)), Lead Fertilizer Companies (LFCs) and Agriculture Investment Fund (AIF) credit support.</t>
  </si>
  <si>
    <t>Ministry of Agriculture &amp; Farmers Welfare (DA&amp;FW); DoRD; Lead Fertilizer Companies (LFCs); Krishi Vigyan Kendra (KVK)s; DAY-National Rural Livelihoods Mission (NRLM)</t>
  </si>
  <si>
    <t>MSDE central, National Skill Development Corporation (NSDC), State Skill Missions, Pradhan Mantri Kaushal Kendra (PMKK), Training Centers</t>
  </si>
  <si>
    <t>Implemented via Centrally Sponsored Centrally Managed (CSCM) (National Skill Development Corporation (NSDC)-led) and Centrally Sponsored State Managed (CSSM) (state missions); funding disbursed centrally/state; monitored via Skill Development Management System (SDMS), Aadhaar Enabled Biometric Attendance System (AEBAS), surprise visits, call validations.
GESI-specific: women priority in enrolment; special projects target SC/ST/minority/Divyangjan; age relaxation for disadvantaged groups.</t>
  </si>
  <si>
    <t>Self-Help Groups (SHGs)s receive Revolving Fund (₹15–30 k), Community Investment Fund, interest subvention on loans ≤₹5 L; supports via Mahila Kisan Sashaktikaran Pariyojana (MKSP) (agri), Start-Up Village Entrepreneurship Programme (SVEP), Deen Dayal Upadhyaya Grameen Kaushalya Yojana (DDUGKY), Aajeevika Grameen Express Yojana (AGEY); federated institutions (Village Organization (VO)s/Cluster Level Federation (CLF)s).
Key groups mentioned: women, youth engaged via DDUGKY, AGEY, SC/ST/Other Backward Classes (OBC)/minorities</t>
  </si>
  <si>
    <t>Gazette issued; operational timeline contingent on census&amp;delimitation—likely post‑2026; Other Backward Classes (OBC) and minority women exclusion noted; states' ratification pending.</t>
  </si>
  <si>
    <t>To provide collateral-free credit to micro-enterprises and small businesses—including agri-allied activities—facilitating financial inclusion and entrepreneurship among women, SC/ST, Other Backward Classes (OBC), minorities, and rural youth.</t>
  </si>
  <si>
    <t>₹33.65 lakh Cr sanctioned across ~52 Cr loan accounts (as of April 2025); ~68 % to women; ~50 % to SC/ST/Other Backward Classes (OBC); 11 % to minorities</t>
  </si>
  <si>
    <t>Collateral‑free loans up to ₹10 L Shishu; ₹50 k–5 L Kishor; ₹5–10 L Tarun; Tarun Plus ₹10–20 L; 2% interest subvention on prompt Shishu repayment.
Key groups mentioned: women, youth (18-35 years), SC/ST/Other Backward Classes (OBC)/minority</t>
  </si>
  <si>
    <t>Delivered via MLIs with Credit Guarantee Fund for Micro Units (CGFMU) guarantee; interest subvention via Small Industries Development Bank of India (SIDBI); supported by online portal and Aatma Nirbhar Bharat (Self-Reliant India initiative) reforms.
GESI-specific: ≥68–70% women borrowers; ≥50% reserved for SC/ST/Other Backward Classes (OBC); Tarun Plus supports women scale‑ups; interest subsidies for women-owned micro units.</t>
  </si>
  <si>
    <t>Sambal includes: One-Stop Centres, Women Helpline 181, Beti Bachao Beti Padhao, Nari Adalats; Samarthya includes: Palna crèches (6mo–6yr), Working Women Hostels, Swadhar Greh, skill training, conditional nutrition &amp; maternity support
Key groups mentioned: women, adolescents, SC/ST/Other Backward Classes (OBC)/Persons with Disabilities (PwD)</t>
  </si>
  <si>
    <t>Hostels in urban/semi-urban areas with subsidized rent (₹750–₹3,000); 30% seats for SC/ST/Other Backward Classes (OBC)/minorities; daycare facility for 25+ children; CCTV, wardens, and security provisions required.
Key groups mentioned: Women, SC/ST</t>
  </si>
  <si>
    <t>Rollout via OMCs &amp; distributor network; monitored via PMUY portal, Drone disbursal record, and Press Information Bureau (PIB) Management Information System (MIS).
GESI-specific: child-centric &amp; gender-sensitive targeting of poor adult women beneficiaries; rural/tribal distinctions; migrant self-declaration provisions.</t>
  </si>
  <si>
    <t>₹1 lakh crore (available as loans); interest subvention ₹7,907 Cr + credit guarantee ₹2,629 Cr + PMU cost ₹100 Cr over 10 years (total ₹10,636 Cr) – Press Information Bureau (PIB) Feb 2025</t>
  </si>
  <si>
    <t>₹365 Cr allocated (2021–22 to 2025–26) per Press Information Bureau (PIB); ₹100 Cr budgeted for 2023–26 Bengaluru Garima Greh &amp; outreach components</t>
  </si>
  <si>
    <t>Implemented via national SMILE cell; state nodal agencies, Community-Based Organization (CBO)/NGO partners; central funding till 2026; monitored via MoSJE Management Information System (MIS) &amp; Press Information Bureau (PIB).
GESI-specific: explicit GESI focus via dedicated transgender &amp; begging sub-schemes; scholarships; rights-based interventions; Self-Help Groups (SHGs) formation; targeted vulnerable inclusion.</t>
  </si>
  <si>
    <t>Aligned with SDG 2 (Zero Hunger), SDG 3 (Health), SDG 5 (Gender Equality), SDG 4 (Education); integrated under Prime Minister’s Overarching Scheme for Holistic Nutrition (POSHAN) 2.0.</t>
  </si>
  <si>
    <t>Limited reach in aspirational districts; phased rollout; nutrition-service convergence improved under Prime Minister’s Overarching Scheme for Holistic Nutrition (POSHAN) 2.0 since 2022.</t>
  </si>
  <si>
    <t>Implemented via Saksham Anganwadi &amp; Prime Minister’s Overarching Scheme for Holistic Nutrition (POSHAN) 2.0: (Prime Minister’s Overarching Scheme for Holistic Nutrition (POSHAN) = Prime Minister’s Overarching Scheme for Holistic Nutrition) integration—through Anganwadi Centres offering Supplementary Nutrition Programme (SNP), health checks, Iron and Folic Acid (IFA) deworming, triple convergence; monitored via Poshan Tracker and Prime Minister’s Overarching Scheme for Holistic Nutrition (POSHAN) Data Analytics Platform.
GESI-specific: GESI mechanisms include adolescent girl inclusion, iron supplementation for women/girls, convergence to reach marginalized communities via Integrated Child Development Services (ICDS) and Jal Jeevan Mission (JJM).</t>
  </si>
  <si>
    <t>Strong budget scaling and tech use; challenge remains in last-mile service quality and state-level convergence; Prime Minister’s Overarching Scheme for Holistic Nutrition (POSHAN) Tracker and 6x6x6 anemia strategy aim to address gaps.</t>
  </si>
  <si>
    <t>Scheme run through PM-KISAN portal; Direct Benefit Transfer (DBT) via Public Financial Management System (PFMS)/National Payments Corporation of India (NPCI); state-level beneficiary registration and verification; District Block Coordinator (DBC) and Common Service Centre (CSC) used for onboarding; monitored via portal Management Information System (MIS).
GESI-specific: at least one woman per family; female beneficiary share ~24–25%; saturation drives added 1+ crore farmers including 6 lakh Particularly Vulnerable Tribal Group (PVTG) farmers.</t>
  </si>
  <si>
    <t>Voluntary monthly contributions with Govt match; ₹3,000 pension from age 60; 50% family pension; spouses eligible; auto‑debit via bank/Common Services Centre (CSC).
Key groups mentioned: women, youth (age 18–40 years entry), SC/ST, Particularly Vulnerable Tribal Group (PVTG) via state registration</t>
  </si>
  <si>
    <t>Registration via Common Services Centre (CSC)s/State govt; contributions through Life Insurance Corporation (LIC)-managed fund; pension paid post‑60; administrative oversight by Ministry of Agriculture and Farmers Welfare (MoA&amp;FW) Management Information System (MIS).
GESI-specific: specific inclusion of SC/ST/Particularly Vulnerable Tribal Group (PVTG)s; spouse support ensures gender coverage; age-based contributions level the burden.</t>
  </si>
  <si>
    <t>Includes breed development, entrepreneurship training, sector-specific grants for Self-Help Groups (SHGs)s/FPOs/women (50% subsidy); feed &amp; fodder seed support; livestock insurance; Research and Development (R&amp;D) &amp; extension services.
Key groups mentioned: women, SC/ST/Particularly Vulnerable Tribal Group (PVTG) via Self-Help Groups (SHGs)/FPO eligibility</t>
  </si>
  <si>
    <t>Implemented via district-level Women Protection Units, Anganwadi centres, convergence with Integrated Child Development Services (ICDS)/PMMVY; funding shared between Centre and States; monitored via digital Management Information System (MIS)
GESI-specific: women-centric lifecycle support; SC/ST/Other Backward Classes (OBC)/Persons with Disabilities (PwD) inclusion mandates; crèches &amp; shelters enable economic inclusion and social care</t>
  </si>
  <si>
    <t>Supports sectoral residential/non‑residential training in &gt;250 trades; mandatory ≥75% placement; career progression support; post‑placement assistance.
Key groups mentioned: women (33%), youth (15–35 years; up to 45 yrs for women, SC/ST, Persons with Disabilities (PwD)), SC/ST, minorities</t>
  </si>
  <si>
    <t>Delivered via Ministry of Rural Development (MoRD)–State–Project Implementing Agency (PIA) model; funding disbursed through voucher/Direct Benefit Transfer (DBT); monitored via Kaushal Panjee portal; targets and quotas enforced via Standard Operating Procedure (SOP)s.
GESI-specific: ≥33% women trainees; 50% fund earmarked for SC/ST, 15% minorities, 3% Persons with Disabilities (PwD); extended age limit for disadvantaged groups.</t>
  </si>
  <si>
    <t>Centrally Sponsored Scheme (under Rashtriya Krishi Vikas Yojana (RKVY) umbrella)</t>
  </si>
  <si>
    <t>Ministry of Agriculture &amp; Farmers Welfare (DA&amp;FW) via Indian Council of Agricultural Research (ICAR), National Institute of Agricultural Extension Management (MANAGE), State Krishi Vigyan Kendra (KVK)s &amp; Rashtriya Krishi Vikas Yojana (RKVY)-Remunerative Approaches for Agriculture and Allied Sectors Rejuvenation (RAFTAAR) Agribusiness Incubators (R-ABI)</t>
  </si>
  <si>
    <t>Ministry of Rural Development (MoRD) → State Rural Livelihood Missions, Self-Help Group (SHG) Federations, Banks (via Self-Help Group (SHG)‑Bank Linkage)</t>
  </si>
  <si>
    <t>Challenges: varied placement quality, scale‑up constraints, regional rollout disparities; improvements through revamped Standard Operating Procedure (SOP)s in DDU‑GKY 2.0.</t>
  </si>
  <si>
    <t>Implemented through project mode under State Rural Livelihoods Mission (SRLM)s; funding support up to 75% (90% NE &amp; hill states); Project Implementing Agency (PIA)s deploy Community Resource Person (CRP)s, village resource persons &amp; federated women institutions; monitored via National Rural Livelihoods Mission (NRLM) Management Information System (MIS).
GESI-specific: GESI measures include targeting of SC/ST/minority women, women-headed households, landless women, subsidy for women’s Self-Help Groups (SHGs)s and budget earmarking; gender-sensitive tech and training.</t>
  </si>
  <si>
    <t>CC composite loans ₹10 L–₹1 Cr; ≤15% margin requirement; tenure up to 7 yrs; 18‑month moratorium; collateral-free via Credit Guarantee Fund for Stand-Up India (CGFSI); handholding via Stand-Up India Connect Centres (Small Industries Development Bank of India (SIDBI)/National Bank for Agriculture and Rural Development (NABARD)).
Key groups mentioned: women (widows), youth (18–29 years (Stand-Up India Scheme eligibility starts at 18, and “youth” as per national policy is capped at 29), SC/ST</t>
  </si>
  <si>
    <r>
      <t xml:space="preserve">Objectives/Goals
</t>
    </r>
    <r>
      <rPr>
        <sz val="11"/>
        <color theme="1"/>
        <rFont val="Times New Roman"/>
        <family val="1"/>
      </rPr>
      <t>(Short summary of the stated aims or goals of the policy).</t>
    </r>
  </si>
  <si>
    <t>● All official document links and factual claims were cross-verified using reliable Indian government portals (e.g., IndiaCode, PIB, MoWCD, MoRD, MoA&amp;FW).</t>
  </si>
  <si>
    <t>● Where hyperlinks were broken or outdated, we searched for recent versions or alternate official documentation.</t>
  </si>
  <si>
    <t>● Entries were refined to ensure alignment with the CGIAR framework on gender equality, youth inclusion, and intersectionality—focusing particularly on relevance to food systems, agricultural livelihoods, or rural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</si>
</sst>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2"/>
      <color theme="1"/>
      <name val="Times New Roman"/>
      <family val="1"/>
    </font>
    <font>
      <u/>
      <sz val="11"/>
      <color theme="10"/>
      <name val="Calibri"/>
      <family val="2"/>
      <scheme val="minor"/>
    </font>
    <font>
      <sz val="12"/>
      <color theme="1"/>
      <name val="Times New Roman"/>
      <family val="1"/>
    </font>
    <font>
      <b/>
      <sz val="11"/>
      <color theme="1"/>
      <name val="Calibri"/>
      <family val="2"/>
      <scheme val="minor"/>
    </font>
    <font>
      <b/>
      <sz val="11"/>
      <color theme="1"/>
      <name val="Times New Roman"/>
      <family val="1"/>
    </font>
    <font>
      <sz val="11"/>
      <color theme="1"/>
      <name val="Times New Roman"/>
      <family val="1"/>
    </font>
    <font>
      <u/>
      <sz val="11"/>
      <color theme="10"/>
      <name val="Times New Roman"/>
      <family val="1"/>
    </font>
    <font>
      <b/>
      <sz val="13.5"/>
      <color theme="1"/>
      <name val="Times New Roman"/>
      <family val="1"/>
    </font>
  </fonts>
  <fills count="5">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theme="0"/>
        <bgColor indexed="64"/>
      </patternFill>
    </fill>
  </fills>
  <borders count="2">
    <border>
      <left/>
      <right/>
      <top/>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3" fillId="0" borderId="0" xfId="0"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vertical="top" wrapText="1"/>
    </xf>
    <xf numFmtId="0" fontId="0" fillId="0" borderId="0" xfId="0" applyAlignment="1">
      <alignmen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xf>
    <xf numFmtId="0" fontId="1" fillId="0" borderId="0" xfId="0" applyFont="1" applyAlignment="1">
      <alignment vertical="top" wrapText="1"/>
    </xf>
    <xf numFmtId="0" fontId="3" fillId="0" borderId="0" xfId="0" applyFont="1" applyAlignment="1">
      <alignment vertical="top" wrapText="1"/>
    </xf>
    <xf numFmtId="0" fontId="3" fillId="0" borderId="1" xfId="0" applyFont="1" applyBorder="1" applyAlignment="1">
      <alignment horizontal="left" vertical="top" wrapText="1"/>
    </xf>
    <xf numFmtId="0" fontId="5" fillId="2" borderId="0" xfId="0" applyFont="1" applyFill="1" applyAlignment="1">
      <alignment horizontal="left" vertical="top" wrapText="1"/>
    </xf>
    <xf numFmtId="0" fontId="6" fillId="0" borderId="0" xfId="0" applyFont="1" applyAlignment="1">
      <alignment horizontal="left" vertical="top" wrapText="1"/>
    </xf>
    <xf numFmtId="164" fontId="6" fillId="0" borderId="0" xfId="0" applyNumberFormat="1" applyFont="1" applyAlignment="1">
      <alignment horizontal="left" vertical="top" wrapText="1"/>
    </xf>
    <xf numFmtId="0" fontId="7" fillId="0" borderId="0" xfId="1" applyFont="1" applyAlignment="1">
      <alignment horizontal="left" vertical="top" wrapText="1"/>
    </xf>
    <xf numFmtId="0" fontId="7" fillId="4" borderId="0" xfId="1" applyFont="1" applyFill="1" applyAlignment="1">
      <alignment horizontal="left" vertical="top" wrapText="1"/>
    </xf>
    <xf numFmtId="0" fontId="2" fillId="4" borderId="0" xfId="1" applyFill="1" applyAlignment="1">
      <alignment horizontal="left" vertical="top" wrapText="1"/>
    </xf>
    <xf numFmtId="14" fontId="6" fillId="0" borderId="0" xfId="0" applyNumberFormat="1" applyFont="1" applyAlignment="1">
      <alignment horizontal="left" vertical="top" wrapText="1"/>
    </xf>
    <xf numFmtId="0" fontId="2" fillId="0" borderId="0" xfId="1" applyAlignment="1">
      <alignment horizontal="left"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left" vertical="top" wrapText="1"/>
    </xf>
    <xf numFmtId="0" fontId="7" fillId="0" borderId="1" xfId="1" applyFont="1" applyBorder="1" applyAlignment="1">
      <alignment horizontal="left" vertical="top" wrapText="1"/>
    </xf>
    <xf numFmtId="0" fontId="6" fillId="0" borderId="0" xfId="0" applyFont="1" applyAlignment="1">
      <alignment horizontal="left" vertical="top"/>
    </xf>
    <xf numFmtId="0" fontId="8" fillId="0" borderId="0" xfId="0" applyFont="1" applyAlignment="1">
      <alignment vertical="center"/>
    </xf>
    <xf numFmtId="0" fontId="6" fillId="0" borderId="0" xfId="0" applyFont="1"/>
    <xf numFmtId="0" fontId="5" fillId="0" borderId="0" xfId="0" applyFont="1"/>
    <xf numFmtId="0" fontId="6" fillId="0" borderId="0" xfId="0" applyFont="1" applyAlignment="1">
      <alignment horizontal="left" vertical="center" indent="1"/>
    </xf>
    <xf numFmtId="0" fontId="6" fillId="0" borderId="0" xfId="0" applyFont="1" applyAlignment="1">
      <alignment horizontal="left" vertical="center" indent="3"/>
    </xf>
  </cellXfs>
  <cellStyles count="2">
    <cellStyle name="Hyperlink" xfId="1" builtinId="8"/>
    <cellStyle name="Normal" xfId="0" builtinId="0"/>
  </cellStyles>
  <dxfs count="0"/>
  <tableStyles count="0" defaultTableStyle="TableStyleMedium2" defaultPivotStyle="PivotStyleLight16"/>
  <colors>
    <mruColors>
      <color rgb="FFF964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72A2-6914-4198-AFE7-5637DED3C1B9}">
  <dimension ref="A1:S42"/>
  <sheetViews>
    <sheetView tabSelected="1" zoomScale="70" zoomScaleNormal="70" workbookViewId="0">
      <pane xSplit="2" ySplit="1" topLeftCell="C37" activePane="bottomRight" state="frozen"/>
      <selection pane="topRight" activeCell="A6" sqref="A6"/>
      <selection pane="bottomLeft" activeCell="A6" sqref="A6"/>
      <selection pane="bottomRight" activeCell="A2" sqref="A2"/>
    </sheetView>
  </sheetViews>
  <sheetFormatPr defaultColWidth="9.1796875" defaultRowHeight="15.5"/>
  <cols>
    <col min="1" max="1" width="11" style="1" customWidth="1"/>
    <col min="2" max="2" width="36" style="1" customWidth="1"/>
    <col min="3" max="3" width="52.81640625" style="1" customWidth="1"/>
    <col min="4" max="4" width="19.1796875" style="1" customWidth="1"/>
    <col min="5" max="5" width="34.81640625" style="1" customWidth="1"/>
    <col min="6" max="6" width="29.453125" style="1" customWidth="1"/>
    <col min="7" max="7" width="53" style="1" customWidth="1"/>
    <col min="8" max="8" width="47.453125" style="1" customWidth="1"/>
    <col min="9" max="9" width="24.1796875" style="1" customWidth="1"/>
    <col min="10" max="10" width="33.453125" style="1" customWidth="1"/>
    <col min="11" max="11" width="35.54296875" style="1" customWidth="1"/>
    <col min="12" max="12" width="46.1796875" style="1" customWidth="1"/>
    <col min="13" max="13" width="49.54296875" style="1" customWidth="1"/>
    <col min="14" max="14" width="52.81640625" style="1" customWidth="1"/>
    <col min="15" max="15" width="53.453125" style="1" customWidth="1"/>
    <col min="16" max="17" width="46.54296875" style="1" customWidth="1"/>
    <col min="18" max="18" width="79.453125" style="1" customWidth="1"/>
    <col min="19" max="19" width="53.453125" style="1" customWidth="1"/>
    <col min="20" max="16384" width="9.1796875" style="1"/>
  </cols>
  <sheetData>
    <row r="1" spans="1:19" s="2" customFormat="1" ht="63" customHeight="1">
      <c r="A1" s="13" t="s">
        <v>0</v>
      </c>
      <c r="B1" s="13" t="s">
        <v>1</v>
      </c>
      <c r="C1" s="13" t="s">
        <v>645</v>
      </c>
      <c r="D1" s="13" t="s">
        <v>2</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row>
    <row r="2" spans="1:19" ht="119.15" customHeight="1">
      <c r="A2" s="14">
        <v>1</v>
      </c>
      <c r="B2" s="14" t="s">
        <v>18</v>
      </c>
      <c r="C2" s="14" t="s">
        <v>19</v>
      </c>
      <c r="D2" s="14">
        <v>2005</v>
      </c>
      <c r="E2" s="14" t="s">
        <v>20</v>
      </c>
      <c r="F2" s="15">
        <v>38750</v>
      </c>
      <c r="G2" s="14" t="s">
        <v>547</v>
      </c>
      <c r="H2" s="14" t="s">
        <v>21</v>
      </c>
      <c r="I2" s="14" t="s">
        <v>22</v>
      </c>
      <c r="J2" s="14" t="s">
        <v>23</v>
      </c>
      <c r="K2" s="14" t="s">
        <v>24</v>
      </c>
      <c r="L2" s="14" t="s">
        <v>25</v>
      </c>
      <c r="M2" s="14" t="s">
        <v>26</v>
      </c>
      <c r="N2" s="14" t="s">
        <v>574</v>
      </c>
      <c r="O2" s="14" t="s">
        <v>575</v>
      </c>
      <c r="P2" s="14" t="s">
        <v>607</v>
      </c>
      <c r="Q2" s="14" t="s">
        <v>27</v>
      </c>
      <c r="R2" s="16" t="str">
        <f>HYPERLINK("https://nrega.dord.gov.in/MGNREGA_new/Nrega_home.aspx","Official MGNREGA Portal – MoRD")</f>
        <v>Official MGNREGA Portal – MoRD</v>
      </c>
      <c r="S2" s="16" t="str">
        <f>HYPERLINK("https://www.indiacode.nic.in/bitstream/123456789/6930/1/the_mahatma_gandhi_national_rural_employment_guarantee_act%2C_2005.pdf","The Mahatma Gandhi National Rural Employment Guarantee Act, 2005")</f>
        <v>The Mahatma Gandhi National Rural Employment Guarantee Act, 2005</v>
      </c>
    </row>
    <row r="3" spans="1:19" ht="113.5" customHeight="1">
      <c r="A3" s="14">
        <v>2</v>
      </c>
      <c r="B3" s="14" t="s">
        <v>28</v>
      </c>
      <c r="C3" s="14" t="s">
        <v>29</v>
      </c>
      <c r="D3" s="14">
        <v>2014</v>
      </c>
      <c r="E3" s="14" t="s">
        <v>30</v>
      </c>
      <c r="F3" s="15">
        <v>41914</v>
      </c>
      <c r="G3" s="14" t="s">
        <v>31</v>
      </c>
      <c r="H3" s="14" t="s">
        <v>505</v>
      </c>
      <c r="I3" s="14" t="s">
        <v>22</v>
      </c>
      <c r="J3" s="14" t="s">
        <v>32</v>
      </c>
      <c r="K3" s="14" t="s">
        <v>33</v>
      </c>
      <c r="L3" s="14" t="s">
        <v>506</v>
      </c>
      <c r="M3" s="14" t="s">
        <v>34</v>
      </c>
      <c r="N3" s="14" t="s">
        <v>507</v>
      </c>
      <c r="O3" s="14" t="s">
        <v>576</v>
      </c>
      <c r="P3" s="14" t="s">
        <v>548</v>
      </c>
      <c r="Q3" s="14" t="s">
        <v>35</v>
      </c>
      <c r="R3" s="16" t="str">
        <f>HYPERLINK("https://swachhbharatmission.ddws.gov.in/about_sbm","Official SBM‑Grameen Phase II Guidelines Portal")</f>
        <v>Official SBM‑Grameen Phase II Guidelines Portal</v>
      </c>
      <c r="S3" s="16" t="str">
        <f>HYPERLINK("https://swachhbharatmission.ddws.gov.in/guidelines?page=1","SBM‑G Phase II Operational Guidelines PDF")</f>
        <v>SBM‑G Phase II Operational Guidelines PDF</v>
      </c>
    </row>
    <row r="4" spans="1:19" ht="126">
      <c r="A4" s="14">
        <v>3</v>
      </c>
      <c r="B4" s="14" t="s">
        <v>36</v>
      </c>
      <c r="C4" s="14" t="s">
        <v>37</v>
      </c>
      <c r="D4" s="14">
        <v>2014</v>
      </c>
      <c r="E4" s="14" t="s">
        <v>38</v>
      </c>
      <c r="F4" s="15">
        <v>41879</v>
      </c>
      <c r="G4" s="14" t="s">
        <v>39</v>
      </c>
      <c r="H4" s="14" t="s">
        <v>40</v>
      </c>
      <c r="I4" s="14" t="s">
        <v>22</v>
      </c>
      <c r="J4" s="14" t="s">
        <v>41</v>
      </c>
      <c r="K4" s="14" t="s">
        <v>42</v>
      </c>
      <c r="L4" s="14" t="s">
        <v>43</v>
      </c>
      <c r="M4" s="14" t="s">
        <v>44</v>
      </c>
      <c r="N4" s="14" t="s">
        <v>509</v>
      </c>
      <c r="O4" s="14" t="s">
        <v>508</v>
      </c>
      <c r="P4" s="14" t="s">
        <v>45</v>
      </c>
      <c r="Q4" s="14" t="s">
        <v>46</v>
      </c>
      <c r="R4" s="16" t="str">
        <f>HYPERLINK("https://www.pmjdy.gov.in/scheme", "Official PMJDY Portal – Ministry of Finance")</f>
        <v>Official PMJDY Portal – Ministry of Finance</v>
      </c>
      <c r="S4" s="16" t="str">
        <f>HYPERLINK("https://www.pib.gov.in/PressReleasePage.aspx?PRID=2049231","PMJDY: 10-Year Progress Report, August 2024 – PIB")</f>
        <v>PMJDY: 10-Year Progress Report, August 2024 – PIB</v>
      </c>
    </row>
    <row r="5" spans="1:19" ht="157" customHeight="1">
      <c r="A5" s="14">
        <v>4</v>
      </c>
      <c r="B5" s="14" t="s">
        <v>47</v>
      </c>
      <c r="C5" s="14" t="s">
        <v>511</v>
      </c>
      <c r="D5" s="14">
        <v>2011</v>
      </c>
      <c r="E5" s="14" t="s">
        <v>48</v>
      </c>
      <c r="F5" s="15" t="s">
        <v>49</v>
      </c>
      <c r="G5" s="14" t="s">
        <v>50</v>
      </c>
      <c r="H5" s="14" t="s">
        <v>510</v>
      </c>
      <c r="I5" s="14" t="s">
        <v>22</v>
      </c>
      <c r="J5" s="14" t="s">
        <v>51</v>
      </c>
      <c r="K5" s="14" t="s">
        <v>52</v>
      </c>
      <c r="L5" s="14" t="s">
        <v>641</v>
      </c>
      <c r="M5" s="14" t="s">
        <v>53</v>
      </c>
      <c r="N5" s="14" t="s">
        <v>616</v>
      </c>
      <c r="O5" s="14" t="s">
        <v>577</v>
      </c>
      <c r="P5" s="14" t="s">
        <v>54</v>
      </c>
      <c r="Q5" s="14" t="s">
        <v>55</v>
      </c>
      <c r="R5" s="16" t="str">
        <f>HYPERLINK("https://nrlm.gov.in/","Official NRLM Portal – MoRD")</f>
        <v>Official NRLM Portal – MoRD</v>
      </c>
      <c r="S5" s="16" t="str">
        <f>HYPERLINK("https://static.pib.gov.in/WriteReadData/specificdocs/documents/2023/dec/doc2023126279701.pdf","MoRD: DAY‑NRLM Explainer – PIB Dec 2023")</f>
        <v>MoRD: DAY‑NRLM Explainer – PIB Dec 2023</v>
      </c>
    </row>
    <row r="6" spans="1:19" ht="98">
      <c r="A6" s="14">
        <v>5</v>
      </c>
      <c r="B6" s="14" t="s">
        <v>56</v>
      </c>
      <c r="C6" s="14" t="s">
        <v>512</v>
      </c>
      <c r="D6" s="14">
        <v>2023</v>
      </c>
      <c r="E6" s="14" t="s">
        <v>57</v>
      </c>
      <c r="F6" s="15" t="s">
        <v>58</v>
      </c>
      <c r="G6" s="14" t="s">
        <v>59</v>
      </c>
      <c r="H6" s="14" t="s">
        <v>60</v>
      </c>
      <c r="I6" s="14" t="s">
        <v>22</v>
      </c>
      <c r="J6" s="14" t="s">
        <v>61</v>
      </c>
      <c r="K6" s="14" t="s">
        <v>62</v>
      </c>
      <c r="L6" s="14" t="s">
        <v>63</v>
      </c>
      <c r="M6" s="14" t="s">
        <v>64</v>
      </c>
      <c r="N6" s="14" t="s">
        <v>493</v>
      </c>
      <c r="O6" s="14" t="s">
        <v>503</v>
      </c>
      <c r="P6" s="14" t="s">
        <v>513</v>
      </c>
      <c r="Q6" s="14" t="s">
        <v>617</v>
      </c>
      <c r="R6" s="16" t="str">
        <f>HYPERLINK("https://egazette.gov.in/WriteReadData/2023/249053.pdf","128th Amendment Act 2023 – Official Gazette")</f>
        <v>128th Amendment Act 2023 – Official Gazette</v>
      </c>
      <c r="S6" s="16" t="str">
        <f>HYPERLINK("https://pib.gov.in/PressReleasePage.aspx?PRID=1959212","PIB: Women's Reservation Act Passed – Sept 2023")</f>
        <v>PIB: Women's Reservation Act Passed – Sept 2023</v>
      </c>
    </row>
    <row r="7" spans="1:19" ht="84">
      <c r="A7" s="14">
        <v>6</v>
      </c>
      <c r="B7" s="14" t="s">
        <v>65</v>
      </c>
      <c r="C7" s="14" t="s">
        <v>515</v>
      </c>
      <c r="D7" s="14">
        <v>2016</v>
      </c>
      <c r="E7" s="14" t="s">
        <v>66</v>
      </c>
      <c r="F7" s="15">
        <v>42491</v>
      </c>
      <c r="G7" s="14" t="s">
        <v>67</v>
      </c>
      <c r="H7" s="14" t="s">
        <v>68</v>
      </c>
      <c r="I7" s="14" t="s">
        <v>22</v>
      </c>
      <c r="J7" s="14" t="s">
        <v>69</v>
      </c>
      <c r="K7" s="14" t="s">
        <v>70</v>
      </c>
      <c r="L7" s="14" t="s">
        <v>514</v>
      </c>
      <c r="M7" s="14" t="s">
        <v>71</v>
      </c>
      <c r="N7" s="14" t="s">
        <v>492</v>
      </c>
      <c r="O7" s="14" t="s">
        <v>624</v>
      </c>
      <c r="P7" s="14" t="s">
        <v>72</v>
      </c>
      <c r="Q7" s="14" t="s">
        <v>73</v>
      </c>
      <c r="R7" s="16" t="str">
        <f>HYPERLINK("https://pmuy.gov.in/about.html","Official PMUY Portal")</f>
        <v>Official PMUY Portal</v>
      </c>
      <c r="S7" s="16" t="str">
        <f>HYPERLINK("https://static.pib.gov.in/WriteReadData/specificdocs/documents/2024/jan/doc202413295811.pdf","PMUY Revised Guidelines &amp; Scheme Details – MoPNG (Jan 2024 PIB Report)")</f>
        <v>PMUY Revised Guidelines &amp; Scheme Details – MoPNG (Jan 2024 PIB Report)</v>
      </c>
    </row>
    <row r="8" spans="1:19" ht="108" customHeight="1">
      <c r="A8" s="14">
        <v>7</v>
      </c>
      <c r="B8" s="14" t="s">
        <v>74</v>
      </c>
      <c r="C8" s="14" t="s">
        <v>75</v>
      </c>
      <c r="D8" s="14">
        <v>2010</v>
      </c>
      <c r="E8" s="14" t="s">
        <v>516</v>
      </c>
      <c r="F8" s="15" t="s">
        <v>76</v>
      </c>
      <c r="G8" s="14" t="s">
        <v>517</v>
      </c>
      <c r="H8" s="14" t="s">
        <v>77</v>
      </c>
      <c r="I8" s="14" t="s">
        <v>22</v>
      </c>
      <c r="J8" s="14" t="s">
        <v>553</v>
      </c>
      <c r="K8" s="14" t="s">
        <v>554</v>
      </c>
      <c r="L8" s="14" t="s">
        <v>555</v>
      </c>
      <c r="M8" s="14" t="s">
        <v>78</v>
      </c>
      <c r="N8" s="14" t="s">
        <v>518</v>
      </c>
      <c r="O8" s="14" t="s">
        <v>578</v>
      </c>
      <c r="P8" s="14" t="s">
        <v>628</v>
      </c>
      <c r="Q8" s="14" t="s">
        <v>629</v>
      </c>
      <c r="R8" s="16" t="str">
        <f>HYPERLINK("https://www.india.gov.in/scheme-adolescent-girls-sag","National SAG Portal – India.gov.in")</f>
        <v>National SAG Portal – India.gov.in</v>
      </c>
      <c r="S8" s="16" t="str">
        <f>HYPERLINK("https://socialwelfare.tripura.gov.in/sites/default/files/SAG-%20Letter%203rd%20on%2031%20August%202018.pdf","SAG Administrative Guidelines – MoWCD (Aug 31, 2018)")</f>
        <v>SAG Administrative Guidelines – MoWCD (Aug 31, 2018)</v>
      </c>
    </row>
    <row r="9" spans="1:19" ht="140">
      <c r="A9" s="14">
        <v>8</v>
      </c>
      <c r="B9" s="14" t="s">
        <v>79</v>
      </c>
      <c r="C9" s="14" t="s">
        <v>80</v>
      </c>
      <c r="D9" s="14">
        <v>2010</v>
      </c>
      <c r="E9" s="14" t="s">
        <v>20</v>
      </c>
      <c r="F9" s="15">
        <v>40179</v>
      </c>
      <c r="G9" s="14" t="s">
        <v>519</v>
      </c>
      <c r="H9" s="14" t="s">
        <v>77</v>
      </c>
      <c r="I9" s="14" t="s">
        <v>22</v>
      </c>
      <c r="J9" s="14" t="s">
        <v>81</v>
      </c>
      <c r="K9" s="14" t="s">
        <v>82</v>
      </c>
      <c r="L9" s="14" t="s">
        <v>589</v>
      </c>
      <c r="M9" s="14" t="s">
        <v>83</v>
      </c>
      <c r="N9" s="14" t="s">
        <v>563</v>
      </c>
      <c r="O9" s="14" t="s">
        <v>590</v>
      </c>
      <c r="P9" s="14" t="s">
        <v>556</v>
      </c>
      <c r="Q9" s="14" t="s">
        <v>84</v>
      </c>
      <c r="R9" s="16" t="str">
        <f>HYPERLINK("https://nirdpr.org.in/crru/docs/health/PMMVY%20Scheme%20Implemetation%20Guidelines.pdf","PMMVY Scheme Implementation Guidelines – MoWCD/National Institute of Rural Development and Panchayati Raj (NIRDPR)")</f>
        <v>PMMVY Scheme Implementation Guidelines – MoWCD/National Institute of Rural Development and Panchayati Raj (NIRDPR)</v>
      </c>
      <c r="S9" s="16" t="str">
        <f>HYPERLINK("https://static.pib.gov.in/WriteReadData/specificdocs/documents/2022/jan/doc20221195901.pdf","PIB FAQ on PMMVY – Jan 2022")</f>
        <v>PIB FAQ on PMMVY – Jan 2022</v>
      </c>
    </row>
    <row r="10" spans="1:19" ht="125.5" customHeight="1">
      <c r="A10" s="14">
        <v>9</v>
      </c>
      <c r="B10" s="14" t="s">
        <v>85</v>
      </c>
      <c r="C10" s="14" t="s">
        <v>520</v>
      </c>
      <c r="D10" s="14">
        <v>1995</v>
      </c>
      <c r="E10" s="14" t="s">
        <v>20</v>
      </c>
      <c r="F10" s="15">
        <v>34926</v>
      </c>
      <c r="G10" s="14" t="s">
        <v>523</v>
      </c>
      <c r="H10" s="14" t="s">
        <v>510</v>
      </c>
      <c r="I10" s="14" t="s">
        <v>22</v>
      </c>
      <c r="J10" s="14" t="s">
        <v>86</v>
      </c>
      <c r="K10" s="14" t="s">
        <v>87</v>
      </c>
      <c r="L10" s="14" t="s">
        <v>88</v>
      </c>
      <c r="M10" s="14" t="s">
        <v>89</v>
      </c>
      <c r="N10" s="14" t="s">
        <v>521</v>
      </c>
      <c r="O10" s="14" t="s">
        <v>524</v>
      </c>
      <c r="P10" s="14" t="s">
        <v>90</v>
      </c>
      <c r="Q10" s="14" t="s">
        <v>522</v>
      </c>
      <c r="R10" s="16" t="str">
        <f>HYPERLINK("https://nsap.nic.in/Guidelines/nsap_guidelines_oct2014.pdf","NSAP Guidelines (MoRD, Oct 2014)")</f>
        <v>NSAP Guidelines (MoRD, Oct 2014)</v>
      </c>
      <c r="S10" s="16" t="str">
        <f>HYPERLINK("https://cag.gov.in/uploads/download_audit_report/2023/Report-No.-10-of-2023_NSAP_English_PDF-A-064d229f832dad7.55068084.pdf","Comptroller and Auditor General (CAG) Performance Audit NSAP 2023")</f>
        <v>Comptroller and Auditor General (CAG) Performance Audit NSAP 2023</v>
      </c>
    </row>
    <row r="11" spans="1:19" ht="147" customHeight="1">
      <c r="A11" s="14">
        <v>10</v>
      </c>
      <c r="B11" s="14" t="s">
        <v>91</v>
      </c>
      <c r="C11" s="14" t="s">
        <v>92</v>
      </c>
      <c r="D11" s="14">
        <v>2016</v>
      </c>
      <c r="E11" s="14" t="s">
        <v>93</v>
      </c>
      <c r="F11" s="15">
        <v>42465</v>
      </c>
      <c r="G11" s="14" t="s">
        <v>94</v>
      </c>
      <c r="H11" s="14" t="s">
        <v>525</v>
      </c>
      <c r="I11" s="14" t="s">
        <v>22</v>
      </c>
      <c r="J11" s="14" t="s">
        <v>95</v>
      </c>
      <c r="K11" s="14" t="s">
        <v>96</v>
      </c>
      <c r="L11" s="14" t="s">
        <v>526</v>
      </c>
      <c r="M11" s="14" t="s">
        <v>97</v>
      </c>
      <c r="N11" s="14" t="s">
        <v>644</v>
      </c>
      <c r="O11" s="14" t="s">
        <v>504</v>
      </c>
      <c r="P11" s="14" t="s">
        <v>597</v>
      </c>
      <c r="Q11" s="14" t="s">
        <v>98</v>
      </c>
      <c r="R11" s="16" t="str">
        <f>HYPERLINK("https://static.pib.gov.in/WriteReadData/specificdocs/documents/2022/apr/doc20224535601.pdf","Stand‑Up India Scheme FAQ &amp; Guidelines – Department of Financial Services (DoFS), MoF (Apr 2022)")</f>
        <v>Stand‑Up India Scheme FAQ &amp; Guidelines – Department of Financial Services (DoFS), MoF (Apr 2022)</v>
      </c>
      <c r="S11" s="16" t="str">
        <f>HYPERLINK("https://samarth.powermin.gov.in/content/policies/5f0f87c0-6620-4fae-b440-d11d67d0b2a0.pdf","Stand‑Up India Scheme Guidelines")</f>
        <v>Stand‑Up India Scheme Guidelines</v>
      </c>
    </row>
    <row r="12" spans="1:19" ht="98">
      <c r="A12" s="14">
        <v>11</v>
      </c>
      <c r="B12" s="14" t="s">
        <v>99</v>
      </c>
      <c r="C12" s="14" t="s">
        <v>618</v>
      </c>
      <c r="D12" s="14">
        <v>2015</v>
      </c>
      <c r="E12" s="14" t="s">
        <v>20</v>
      </c>
      <c r="F12" s="15" t="s">
        <v>100</v>
      </c>
      <c r="G12" s="14" t="s">
        <v>619</v>
      </c>
      <c r="H12" s="14" t="s">
        <v>101</v>
      </c>
      <c r="I12" s="14" t="s">
        <v>22</v>
      </c>
      <c r="J12" s="14" t="s">
        <v>102</v>
      </c>
      <c r="K12" s="14" t="s">
        <v>103</v>
      </c>
      <c r="L12" s="14" t="s">
        <v>599</v>
      </c>
      <c r="M12" s="14" t="s">
        <v>104</v>
      </c>
      <c r="N12" s="14" t="s">
        <v>620</v>
      </c>
      <c r="O12" s="14" t="s">
        <v>621</v>
      </c>
      <c r="P12" s="14" t="s">
        <v>105</v>
      </c>
      <c r="Q12" s="14" t="s">
        <v>598</v>
      </c>
      <c r="R12" s="16" t="str">
        <f>HYPERLINK("https://www.pib.gov.in/PressReleasePage.aspx?PRID=2119781","PIB: A Decade of Growth with PM Mudra Yojana, Apr 2025")</f>
        <v>PIB: A Decade of Growth with PM Mudra Yojana, Apr 2025</v>
      </c>
      <c r="S12" s="16" t="str">
        <f>HYPERLINK("https://www.mudra.org.in/Default/DownloadFile/MudraLoan-SalientFeatures-English.pdf","PMMY Salient Features &amp; Guidelines – MUDRA Ltd.")</f>
        <v>PMMY Salient Features &amp; Guidelines – MUDRA Ltd.</v>
      </c>
    </row>
    <row r="13" spans="1:19" ht="98">
      <c r="A13" s="14">
        <v>12</v>
      </c>
      <c r="B13" s="14" t="s">
        <v>106</v>
      </c>
      <c r="C13" s="14" t="s">
        <v>107</v>
      </c>
      <c r="D13" s="14">
        <v>2021</v>
      </c>
      <c r="E13" s="14" t="s">
        <v>108</v>
      </c>
      <c r="F13" s="15">
        <v>44287</v>
      </c>
      <c r="G13" s="14" t="s">
        <v>591</v>
      </c>
      <c r="H13" s="14" t="s">
        <v>549</v>
      </c>
      <c r="I13" s="14" t="s">
        <v>22</v>
      </c>
      <c r="J13" s="14" t="s">
        <v>109</v>
      </c>
      <c r="K13" s="14" t="s">
        <v>527</v>
      </c>
      <c r="L13" s="14" t="s">
        <v>592</v>
      </c>
      <c r="M13" s="14" t="s">
        <v>110</v>
      </c>
      <c r="N13" s="14" t="s">
        <v>622</v>
      </c>
      <c r="O13" s="14" t="s">
        <v>636</v>
      </c>
      <c r="P13" s="14" t="s">
        <v>557</v>
      </c>
      <c r="Q13" s="14" t="s">
        <v>111</v>
      </c>
      <c r="R13" s="16" t="str">
        <f>HYPERLINK("https://g20empower-india.org/en/home/mission-details/shakti","Mission Shakti Overview – MoWCD")</f>
        <v>Mission Shakti Overview – MoWCD</v>
      </c>
      <c r="S13" s="16" t="str">
        <f>HYPERLINK("https://wdcw.tg.nic.in/documents/Mission_Shakti_Guidelines.pdf","Mission Shakti Scheme Implementation Guidelines – MoWCD (July 2022)")</f>
        <v>Mission Shakti Scheme Implementation Guidelines – MoWCD (July 2022)</v>
      </c>
    </row>
    <row r="14" spans="1:19" ht="186.5" customHeight="1">
      <c r="A14" s="14">
        <v>13</v>
      </c>
      <c r="B14" s="14" t="s">
        <v>112</v>
      </c>
      <c r="C14" s="14" t="s">
        <v>113</v>
      </c>
      <c r="D14" s="14">
        <v>2011</v>
      </c>
      <c r="E14" s="14" t="s">
        <v>20</v>
      </c>
      <c r="F14" s="15">
        <v>40634</v>
      </c>
      <c r="G14" s="14" t="s">
        <v>114</v>
      </c>
      <c r="H14" s="14" t="s">
        <v>608</v>
      </c>
      <c r="I14" s="14" t="s">
        <v>22</v>
      </c>
      <c r="J14" s="14" t="s">
        <v>115</v>
      </c>
      <c r="K14" s="14" t="s">
        <v>116</v>
      </c>
      <c r="L14" s="14" t="s">
        <v>609</v>
      </c>
      <c r="M14" s="14" t="s">
        <v>117</v>
      </c>
      <c r="N14" s="14" t="s">
        <v>494</v>
      </c>
      <c r="O14" s="14" t="s">
        <v>643</v>
      </c>
      <c r="P14" s="14" t="s">
        <v>528</v>
      </c>
      <c r="Q14" s="14" t="s">
        <v>118</v>
      </c>
      <c r="R14" s="16" t="str">
        <f>HYPERLINK("https://mksp.gov.in/portal/","Official MKSP Portal – MoRD")</f>
        <v>Official MKSP Portal – MoRD</v>
      </c>
      <c r="S14" s="16" t="str">
        <f>HYPERLINK("https://mksp.nrlm.gov.in/portal/images/MKSP_Value_Chain_Guidelines.pdf","MKSP Value‑Chain &amp; Farm Livelihood Guidelines")</f>
        <v>MKSP Value‑Chain &amp; Farm Livelihood Guidelines</v>
      </c>
    </row>
    <row r="15" spans="1:19" ht="190" customHeight="1">
      <c r="A15" s="14">
        <v>14</v>
      </c>
      <c r="B15" s="14" t="s">
        <v>119</v>
      </c>
      <c r="C15" s="14" t="s">
        <v>120</v>
      </c>
      <c r="D15" s="14">
        <v>2018</v>
      </c>
      <c r="E15" s="14" t="s">
        <v>20</v>
      </c>
      <c r="F15" s="15">
        <v>43167</v>
      </c>
      <c r="G15" s="14" t="s">
        <v>550</v>
      </c>
      <c r="H15" s="14" t="s">
        <v>603</v>
      </c>
      <c r="I15" s="14" t="s">
        <v>22</v>
      </c>
      <c r="J15" s="14" t="s">
        <v>121</v>
      </c>
      <c r="K15" s="14" t="s">
        <v>122</v>
      </c>
      <c r="L15" s="14" t="s">
        <v>588</v>
      </c>
      <c r="M15" s="14" t="s">
        <v>123</v>
      </c>
      <c r="N15" s="14" t="s">
        <v>564</v>
      </c>
      <c r="O15" s="14" t="s">
        <v>630</v>
      </c>
      <c r="P15" s="14" t="s">
        <v>604</v>
      </c>
      <c r="Q15" s="14" t="s">
        <v>631</v>
      </c>
      <c r="R15" s="16" t="str">
        <f>HYPERLINK("https://wcdhry.gov.in/schemes-for-children/poshan-abhiyan/","Official POSHAN Abhiyaan – MoWCD")</f>
        <v>Official POSHAN Abhiyaan – MoWCD</v>
      </c>
      <c r="S15" s="16" t="str">
        <f>HYPERLINK("https://nirdpr.org.in/crru/docs/health/Operational-Guidelines-for-Convergent-Action-Plan-Poshan%20Abhiyaan.pdf","POSHAN Abhiyaan Operational Guidelines – MoWCD (Dec 2017)")</f>
        <v>POSHAN Abhiyaan Operational Guidelines – MoWCD (Dec 2017)</v>
      </c>
    </row>
    <row r="16" spans="1:19" ht="153" customHeight="1">
      <c r="A16" s="14">
        <v>15</v>
      </c>
      <c r="B16" s="14" t="s">
        <v>124</v>
      </c>
      <c r="C16" s="14" t="s">
        <v>125</v>
      </c>
      <c r="D16" s="14">
        <v>2019</v>
      </c>
      <c r="E16" s="14" t="s">
        <v>126</v>
      </c>
      <c r="F16" s="15">
        <v>43520</v>
      </c>
      <c r="G16" s="14" t="s">
        <v>127</v>
      </c>
      <c r="H16" s="14" t="s">
        <v>128</v>
      </c>
      <c r="I16" s="14" t="s">
        <v>22</v>
      </c>
      <c r="J16" s="14" t="s">
        <v>129</v>
      </c>
      <c r="K16" s="14" t="s">
        <v>130</v>
      </c>
      <c r="L16" s="14" t="s">
        <v>544</v>
      </c>
      <c r="M16" s="14" t="s">
        <v>131</v>
      </c>
      <c r="N16" s="14" t="s">
        <v>529</v>
      </c>
      <c r="O16" s="14" t="s">
        <v>632</v>
      </c>
      <c r="P16" s="14" t="s">
        <v>530</v>
      </c>
      <c r="Q16" s="14" t="s">
        <v>132</v>
      </c>
      <c r="R16" s="16" t="str">
        <f>HYPERLINK("https://pmkisan.gov.in/","Official PM‑KISAN Portal")</f>
        <v>Official PM‑KISAN Portal</v>
      </c>
      <c r="S16" s="16" t="str">
        <f>HYPERLINK("https://pmkisan.gov.in/Documents/RevisedPM-KISANOperationalGuidelines(English).pdf","Pradhan Mantri Kisan Samman Nidhi (PM‑KISAN) - Updated Operational Guidelines - 2020")</f>
        <v>Pradhan Mantri Kisan Samman Nidhi (PM‑KISAN) - Updated Operational Guidelines - 2020</v>
      </c>
    </row>
    <row r="17" spans="1:19" ht="113" customHeight="1">
      <c r="A17" s="14">
        <v>16</v>
      </c>
      <c r="B17" s="14" t="s">
        <v>133</v>
      </c>
      <c r="C17" s="14" t="s">
        <v>134</v>
      </c>
      <c r="D17" s="14">
        <v>2019</v>
      </c>
      <c r="E17" s="14" t="s">
        <v>135</v>
      </c>
      <c r="F17" s="15" t="s">
        <v>136</v>
      </c>
      <c r="G17" s="14" t="s">
        <v>137</v>
      </c>
      <c r="H17" s="14" t="s">
        <v>128</v>
      </c>
      <c r="I17" s="14" t="s">
        <v>22</v>
      </c>
      <c r="J17" s="14" t="s">
        <v>138</v>
      </c>
      <c r="K17" s="14" t="s">
        <v>139</v>
      </c>
      <c r="L17" s="14" t="s">
        <v>587</v>
      </c>
      <c r="M17" s="14" t="s">
        <v>140</v>
      </c>
      <c r="N17" s="14" t="s">
        <v>633</v>
      </c>
      <c r="O17" s="14" t="s">
        <v>634</v>
      </c>
      <c r="P17" s="14" t="s">
        <v>141</v>
      </c>
      <c r="Q17" s="14" t="s">
        <v>142</v>
      </c>
      <c r="R17" s="16" t="str">
        <f>HYPERLINK("https://maandhan.in/maandhan/summary","PM‑KMY Dashboard – MoA&amp;FW")</f>
        <v>PM‑KMY Dashboard – MoA&amp;FW</v>
      </c>
      <c r="S17" s="16" t="str">
        <f>HYPERLINK("https://agriwelfare.gov.in/sites/default/files/OG-PMKMY_ENG.pdf","PM‑KMY Operational Guidelines – MoA&amp;FW (Aug 2019)")</f>
        <v>PM‑KMY Operational Guidelines – MoA&amp;FW (Aug 2019)</v>
      </c>
    </row>
    <row r="18" spans="1:19" ht="150.5" customHeight="1">
      <c r="A18" s="14">
        <v>17</v>
      </c>
      <c r="B18" s="14" t="s">
        <v>143</v>
      </c>
      <c r="C18" s="14" t="s">
        <v>144</v>
      </c>
      <c r="D18" s="14">
        <v>2014</v>
      </c>
      <c r="E18" s="14" t="s">
        <v>145</v>
      </c>
      <c r="F18" s="15">
        <v>41730</v>
      </c>
      <c r="G18" s="14" t="s">
        <v>606</v>
      </c>
      <c r="H18" s="14" t="s">
        <v>146</v>
      </c>
      <c r="I18" s="14" t="s">
        <v>22</v>
      </c>
      <c r="J18" s="14" t="s">
        <v>86</v>
      </c>
      <c r="K18" s="14" t="s">
        <v>147</v>
      </c>
      <c r="L18" s="14" t="s">
        <v>600</v>
      </c>
      <c r="M18" s="14" t="s">
        <v>148</v>
      </c>
      <c r="N18" s="14" t="s">
        <v>635</v>
      </c>
      <c r="O18" s="14" t="s">
        <v>546</v>
      </c>
      <c r="P18" s="14" t="s">
        <v>149</v>
      </c>
      <c r="Q18" s="14" t="s">
        <v>150</v>
      </c>
      <c r="R18" s="16" t="str">
        <f>HYPERLINK("https://dahd.gov.in/schemes/programmes/national_livestock_mission","NLM – DAHD official page")</f>
        <v>NLM – DAHD official page</v>
      </c>
      <c r="S18" s="16" t="str">
        <f>HYPERLINK("https://dahd.gov.in/sites/default/files/2023-11/NLMGuidelinesFinalApprovedByEC.pdf","National Livestock Mission – Revised Guidelines (2021) – DAHD")</f>
        <v>National Livestock Mission – Revised Guidelines (2021) – DAHD</v>
      </c>
    </row>
    <row r="19" spans="1:19" ht="138.5" customHeight="1">
      <c r="A19" s="14">
        <v>18</v>
      </c>
      <c r="B19" s="14" t="s">
        <v>151</v>
      </c>
      <c r="C19" s="14" t="s">
        <v>152</v>
      </c>
      <c r="D19" s="14">
        <v>2014</v>
      </c>
      <c r="E19" s="14" t="s">
        <v>20</v>
      </c>
      <c r="F19" s="15">
        <v>41730</v>
      </c>
      <c r="G19" s="14" t="s">
        <v>531</v>
      </c>
      <c r="H19" s="14" t="s">
        <v>128</v>
      </c>
      <c r="I19" s="14" t="s">
        <v>22</v>
      </c>
      <c r="J19" s="14" t="s">
        <v>639</v>
      </c>
      <c r="K19" s="14" t="s">
        <v>153</v>
      </c>
      <c r="L19" s="14" t="s">
        <v>601</v>
      </c>
      <c r="M19" s="14" t="s">
        <v>154</v>
      </c>
      <c r="N19" s="14" t="s">
        <v>532</v>
      </c>
      <c r="O19" s="14" t="s">
        <v>579</v>
      </c>
      <c r="P19" s="14" t="s">
        <v>602</v>
      </c>
      <c r="Q19" s="14" t="s">
        <v>155</v>
      </c>
      <c r="R19" s="16" t="str">
        <f>HYPERLINK("https://agrimachinery.nic.in","SMAM – DA&amp;FW portal")</f>
        <v>SMAM – DA&amp;FW portal</v>
      </c>
      <c r="S19" s="16" t="str">
        <f>HYPERLINK("https://farmech.dac.gov.in/Content/New_Folder/Revised_SMAM_Guidelines_%282025%29_With_Covering.pdf","SMAM 2025 revised guidelines PDF")</f>
        <v>SMAM 2025 revised guidelines PDF</v>
      </c>
    </row>
    <row r="20" spans="1:19" ht="144" customHeight="1">
      <c r="A20" s="14">
        <v>19</v>
      </c>
      <c r="B20" s="14" t="s">
        <v>156</v>
      </c>
      <c r="C20" s="14" t="s">
        <v>533</v>
      </c>
      <c r="D20" s="14">
        <v>2014</v>
      </c>
      <c r="E20" s="14" t="s">
        <v>20</v>
      </c>
      <c r="F20" s="14" t="s">
        <v>157</v>
      </c>
      <c r="G20" s="14" t="s">
        <v>158</v>
      </c>
      <c r="H20" s="14" t="s">
        <v>21</v>
      </c>
      <c r="I20" s="14" t="s">
        <v>22</v>
      </c>
      <c r="J20" s="14" t="s">
        <v>159</v>
      </c>
      <c r="K20" s="14" t="s">
        <v>160</v>
      </c>
      <c r="L20" s="14" t="s">
        <v>610</v>
      </c>
      <c r="M20" s="14" t="s">
        <v>161</v>
      </c>
      <c r="N20" s="14" t="s">
        <v>637</v>
      </c>
      <c r="O20" s="14" t="s">
        <v>638</v>
      </c>
      <c r="P20" s="14" t="s">
        <v>611</v>
      </c>
      <c r="Q20" s="14" t="s">
        <v>642</v>
      </c>
      <c r="R20" s="16" t="str">
        <f>HYPERLINK("https://kaushal.rural.gov.in/#/home","Official DDU‑GKY Portal")</f>
        <v>Official DDU‑GKY Portal</v>
      </c>
      <c r="S20" s="16" t="str">
        <f>HYPERLINK("https://ukrd.uk.gov.in/document/sop-of-ddu-gky-2-0-guidelines/","DDU‑GKY 2.0 Draft SOP Guidelines")</f>
        <v>DDU‑GKY 2.0 Draft SOP Guidelines</v>
      </c>
    </row>
    <row r="21" spans="1:19" ht="155.5" customHeight="1">
      <c r="A21" s="14">
        <v>20</v>
      </c>
      <c r="B21" s="14" t="s">
        <v>162</v>
      </c>
      <c r="C21" s="14" t="s">
        <v>163</v>
      </c>
      <c r="D21" s="14">
        <v>2015</v>
      </c>
      <c r="E21" s="14" t="s">
        <v>20</v>
      </c>
      <c r="F21" s="14" t="s">
        <v>164</v>
      </c>
      <c r="G21" s="14" t="s">
        <v>545</v>
      </c>
      <c r="H21" s="14" t="s">
        <v>534</v>
      </c>
      <c r="I21" s="14" t="s">
        <v>22</v>
      </c>
      <c r="J21" s="14" t="s">
        <v>165</v>
      </c>
      <c r="K21" s="14" t="s">
        <v>536</v>
      </c>
      <c r="L21" s="14" t="s">
        <v>614</v>
      </c>
      <c r="M21" s="14" t="s">
        <v>166</v>
      </c>
      <c r="N21" s="14" t="s">
        <v>535</v>
      </c>
      <c r="O21" s="14" t="s">
        <v>615</v>
      </c>
      <c r="P21" s="14" t="s">
        <v>167</v>
      </c>
      <c r="Q21" s="14" t="s">
        <v>168</v>
      </c>
      <c r="R21" s="16" t="str">
        <f>HYPERLINK("https://www.msde.gov.in/offerings/schemes-and-services/details/pradhan-mantri-kaushal-vikas-yojana-4-0-pmkvy-4-0-2021-ITO3ATMtQWa","MSDE PMKVY 4.0 page")</f>
        <v>MSDE PMKVY 4.0 page</v>
      </c>
      <c r="S21" s="16" t="str">
        <f>HYPERLINK("https://www.msde.gov.in/static/uploads/2024/11/4f71465f72e9f90ff079f76ca2e374a9.pdf","PMKVY Performance &amp; Financial Report (AR 2023‑24)")</f>
        <v>PMKVY Performance &amp; Financial Report (AR 2023‑24)</v>
      </c>
    </row>
    <row r="22" spans="1:19" ht="105" customHeight="1">
      <c r="A22" s="14">
        <v>21</v>
      </c>
      <c r="B22" s="14" t="s">
        <v>169</v>
      </c>
      <c r="C22" s="14" t="s">
        <v>170</v>
      </c>
      <c r="D22" s="14">
        <v>2015</v>
      </c>
      <c r="E22" s="14" t="s">
        <v>20</v>
      </c>
      <c r="F22" s="15">
        <v>42095</v>
      </c>
      <c r="G22" s="14" t="s">
        <v>570</v>
      </c>
      <c r="H22" s="14" t="s">
        <v>171</v>
      </c>
      <c r="I22" s="14" t="s">
        <v>22</v>
      </c>
      <c r="J22" s="14" t="s">
        <v>172</v>
      </c>
      <c r="K22" s="14" t="s">
        <v>173</v>
      </c>
      <c r="L22" s="14" t="s">
        <v>551</v>
      </c>
      <c r="M22" s="14" t="s">
        <v>174</v>
      </c>
      <c r="N22" s="14" t="s">
        <v>566</v>
      </c>
      <c r="O22" s="14" t="s">
        <v>567</v>
      </c>
      <c r="P22" s="14" t="s">
        <v>552</v>
      </c>
      <c r="Q22" s="14" t="s">
        <v>568</v>
      </c>
      <c r="R22" s="16" t="str">
        <f>HYPERLINK("https://atarikolkata.org/arya","Zonal ATARI – ICAR ARYA Overview")</f>
        <v>Zonal ATARI – ICAR ARYA Overview</v>
      </c>
      <c r="S22" s="16" t="str">
        <f>HYPERLINK("https://www.atarikolkata.org/wp-content/uploads/2023/02/ARYA-Annual-Report-2020.pdf","ARYA Annual Report 2020 – ICAR‑ATARI Kolkata")</f>
        <v>ARYA Annual Report 2020 – ICAR‑ATARI Kolkata</v>
      </c>
    </row>
    <row r="23" spans="1:19" ht="133" customHeight="1">
      <c r="A23" s="14">
        <v>22</v>
      </c>
      <c r="B23" s="14" t="s">
        <v>175</v>
      </c>
      <c r="C23" s="14" t="s">
        <v>176</v>
      </c>
      <c r="D23" s="14">
        <v>2018</v>
      </c>
      <c r="E23" s="14" t="s">
        <v>20</v>
      </c>
      <c r="F23" s="15">
        <v>43191</v>
      </c>
      <c r="G23" s="14" t="s">
        <v>177</v>
      </c>
      <c r="H23" s="14" t="s">
        <v>178</v>
      </c>
      <c r="I23" s="14" t="s">
        <v>22</v>
      </c>
      <c r="J23" s="14" t="s">
        <v>179</v>
      </c>
      <c r="K23" s="14" t="s">
        <v>180</v>
      </c>
      <c r="L23" s="14" t="s">
        <v>640</v>
      </c>
      <c r="M23" s="14" t="s">
        <v>181</v>
      </c>
      <c r="N23" s="14" t="s">
        <v>182</v>
      </c>
      <c r="O23" s="14" t="s">
        <v>580</v>
      </c>
      <c r="P23" s="14" t="s">
        <v>183</v>
      </c>
      <c r="Q23" s="14" t="s">
        <v>184</v>
      </c>
      <c r="R23" s="17" t="str">
        <f>HYPERLINK("https://agriwelfare.gov.in/Documents/AR_Eng_2024_25.pdf","DA&amp;FW Annual Report 2024–25 – Includes RKVY‑RAFTAAR Innovation &amp; Agri‑Entrepreneurship Chapter")</f>
        <v>DA&amp;FW Annual Report 2024–25 – Includes RKVY‑RAFTAAR Innovation &amp; Agri‑Entrepreneurship Chapter</v>
      </c>
      <c r="S23" s="18" t="str">
        <f>HYPERLINK("https://agristartup.gov.in/LetterAndCircular/OperationalGuidelineRKVY.pdf","Official RKVY‑RAFTAAR Operational Guidelines (Agri‑Startup portal)")</f>
        <v>Official RKVY‑RAFTAAR Operational Guidelines (Agri‑Startup portal)</v>
      </c>
    </row>
    <row r="24" spans="1:19" ht="168">
      <c r="A24" s="14">
        <v>23</v>
      </c>
      <c r="B24" s="14" t="s">
        <v>185</v>
      </c>
      <c r="C24" s="14" t="s">
        <v>186</v>
      </c>
      <c r="D24" s="14">
        <v>2020</v>
      </c>
      <c r="E24" s="14" t="s">
        <v>20</v>
      </c>
      <c r="F24" s="15">
        <v>44013</v>
      </c>
      <c r="G24" s="14" t="s">
        <v>187</v>
      </c>
      <c r="H24" s="14" t="s">
        <v>128</v>
      </c>
      <c r="I24" s="14" t="s">
        <v>22</v>
      </c>
      <c r="J24" s="14" t="s">
        <v>138</v>
      </c>
      <c r="K24" s="14" t="s">
        <v>188</v>
      </c>
      <c r="L24" s="14" t="s">
        <v>128</v>
      </c>
      <c r="M24" s="14" t="s">
        <v>189</v>
      </c>
      <c r="N24" s="14" t="s">
        <v>190</v>
      </c>
      <c r="O24" s="14" t="s">
        <v>581</v>
      </c>
      <c r="P24" s="14" t="s">
        <v>191</v>
      </c>
      <c r="Q24" s="14" t="s">
        <v>192</v>
      </c>
      <c r="R24" s="16" t="str">
        <f>HYPERLINK("https://sfacindia.com/UploadFile/Statistics/Formation%20%26%20Promotion%20of%2010%2C000%20FPOs%20Scheme%20Operational%20Guidelines%20in%20English.pdf","Official Operational Guidelines – SFAC")</f>
        <v>Official Operational Guidelines – SFAC</v>
      </c>
      <c r="S24" s="16" t="str">
        <f>HYPERLINK("https://www.mofpi.gov.in/sites/default/files/fpo_policy_process_guidelines_1_april_2013.pdf","Policy &amp; Process Guidelines for Farmer Producer Organizations")</f>
        <v>Policy &amp; Process Guidelines for Farmer Producer Organizations</v>
      </c>
    </row>
    <row r="25" spans="1:19" ht="126">
      <c r="A25" s="14">
        <v>24</v>
      </c>
      <c r="B25" s="14" t="s">
        <v>193</v>
      </c>
      <c r="C25" s="14" t="s">
        <v>194</v>
      </c>
      <c r="D25" s="14">
        <v>2020</v>
      </c>
      <c r="E25" s="14" t="s">
        <v>195</v>
      </c>
      <c r="F25" s="15">
        <v>44020</v>
      </c>
      <c r="G25" s="14" t="s">
        <v>625</v>
      </c>
      <c r="H25" s="14" t="s">
        <v>128</v>
      </c>
      <c r="I25" s="14" t="s">
        <v>22</v>
      </c>
      <c r="J25" s="14" t="s">
        <v>196</v>
      </c>
      <c r="K25" s="14" t="s">
        <v>197</v>
      </c>
      <c r="L25" s="14" t="s">
        <v>198</v>
      </c>
      <c r="M25" s="14" t="s">
        <v>199</v>
      </c>
      <c r="N25" s="14" t="s">
        <v>200</v>
      </c>
      <c r="O25" s="14" t="s">
        <v>582</v>
      </c>
      <c r="P25" s="14" t="s">
        <v>201</v>
      </c>
      <c r="Q25" s="14" t="s">
        <v>202</v>
      </c>
      <c r="R25" s="16" t="str">
        <f>HYPERLINK("https://agriinfra.dac.gov.in/","Agriculture Infrastructure Fund – Official Scheme Portal (MoA&amp;FW)")</f>
        <v>Agriculture Infrastructure Fund – Official Scheme Portal (MoA&amp;FW)</v>
      </c>
      <c r="S25" s="16" t="str">
        <f>HYPERLINK("https://agriinfra.dac.gov.in/Content/DocAttachment/FINALSchemeGuidelinesAIF.pdf","Agriculture Infrastructure Fund Guidelines (Sept 2024)")</f>
        <v>Agriculture Infrastructure Fund Guidelines (Sept 2024)</v>
      </c>
    </row>
    <row r="26" spans="1:19" ht="154">
      <c r="A26" s="14">
        <v>25</v>
      </c>
      <c r="B26" s="14" t="s">
        <v>203</v>
      </c>
      <c r="C26" s="14" t="s">
        <v>204</v>
      </c>
      <c r="D26" s="14">
        <v>2014</v>
      </c>
      <c r="E26" s="14" t="s">
        <v>20</v>
      </c>
      <c r="F26" s="15">
        <v>41948</v>
      </c>
      <c r="G26" s="14" t="s">
        <v>205</v>
      </c>
      <c r="H26" s="14" t="s">
        <v>571</v>
      </c>
      <c r="I26" s="14" t="s">
        <v>22</v>
      </c>
      <c r="J26" s="14" t="s">
        <v>86</v>
      </c>
      <c r="K26" s="14" t="s">
        <v>206</v>
      </c>
      <c r="L26" s="14" t="s">
        <v>572</v>
      </c>
      <c r="M26" s="14" t="s">
        <v>207</v>
      </c>
      <c r="N26" s="14" t="s">
        <v>569</v>
      </c>
      <c r="O26" s="14" t="s">
        <v>573</v>
      </c>
      <c r="P26" s="14" t="s">
        <v>208</v>
      </c>
      <c r="Q26" s="14" t="s">
        <v>209</v>
      </c>
      <c r="R26" s="16" t="str">
        <f>HYPERLINK("https://www.manage.gov.in/stry&amp;fcac/about-stry.asp","STRY Overview – MANAGE")</f>
        <v>STRY Overview – MANAGE</v>
      </c>
      <c r="S26" s="16" t="str">
        <f>HYPERLINK("https://www.manage.gov.in/stry&amp;fcac/guidelines-stry.pdf","STRY - Operational Modalities")</f>
        <v>STRY - Operational Modalities</v>
      </c>
    </row>
    <row r="27" spans="1:19" ht="126">
      <c r="A27" s="14">
        <v>26</v>
      </c>
      <c r="B27" s="14" t="s">
        <v>210</v>
      </c>
      <c r="C27" s="14" t="s">
        <v>211</v>
      </c>
      <c r="D27" s="19" t="s">
        <v>212</v>
      </c>
      <c r="E27" s="14" t="s">
        <v>213</v>
      </c>
      <c r="F27" s="15">
        <v>45323</v>
      </c>
      <c r="G27" s="14" t="s">
        <v>612</v>
      </c>
      <c r="H27" s="14" t="s">
        <v>214</v>
      </c>
      <c r="I27" s="14" t="s">
        <v>22</v>
      </c>
      <c r="J27" s="14" t="s">
        <v>215</v>
      </c>
      <c r="K27" s="14" t="s">
        <v>216</v>
      </c>
      <c r="L27" s="14" t="s">
        <v>613</v>
      </c>
      <c r="M27" s="14" t="s">
        <v>217</v>
      </c>
      <c r="N27" s="14" t="s">
        <v>218</v>
      </c>
      <c r="O27" s="14" t="s">
        <v>583</v>
      </c>
      <c r="P27" s="14" t="s">
        <v>219</v>
      </c>
      <c r="Q27" s="14" t="s">
        <v>220</v>
      </c>
      <c r="R27" s="16" t="str">
        <f>HYPERLINK("https://www.india.gov.in/spotlight/namo-drone-didi","National Portal: Drone Didi Spotlight")</f>
        <v>National Portal: Drone Didi Spotlight</v>
      </c>
      <c r="S27" s="16" t="str">
        <f>HYPERLINK("https://farmech.dac.gov.in/Content/New_Folder/Operational_Guidelines_of_Namo_Drone_Didi_Scheme.pdf","Namo Drone Didi – Operational Guidelines (MoA&amp;FW, 2024)")</f>
        <v>Namo Drone Didi – Operational Guidelines (MoA&amp;FW, 2024)</v>
      </c>
    </row>
    <row r="28" spans="1:19" ht="98">
      <c r="A28" s="14">
        <v>27</v>
      </c>
      <c r="B28" s="14" t="s">
        <v>221</v>
      </c>
      <c r="C28" s="14" t="s">
        <v>222</v>
      </c>
      <c r="D28" s="14" t="s">
        <v>223</v>
      </c>
      <c r="E28" s="14" t="s">
        <v>20</v>
      </c>
      <c r="F28" s="15" t="s">
        <v>224</v>
      </c>
      <c r="G28" s="14" t="s">
        <v>225</v>
      </c>
      <c r="H28" s="14" t="s">
        <v>226</v>
      </c>
      <c r="I28" s="14" t="s">
        <v>22</v>
      </c>
      <c r="J28" s="14" t="s">
        <v>227</v>
      </c>
      <c r="K28" s="14" t="s">
        <v>228</v>
      </c>
      <c r="L28" s="14" t="s">
        <v>229</v>
      </c>
      <c r="M28" s="14" t="s">
        <v>230</v>
      </c>
      <c r="N28" s="14" t="s">
        <v>623</v>
      </c>
      <c r="O28" s="14" t="s">
        <v>502</v>
      </c>
      <c r="P28" s="14" t="s">
        <v>231</v>
      </c>
      <c r="Q28" s="14" t="s">
        <v>232</v>
      </c>
      <c r="R28" s="16" t="str">
        <f>HYPERLINK("https://www.india.gov.in/scheme-working-women-hostel-ministry-women-and-child-development","Scheme for Working Women’s Hostels – India.gov.in")</f>
        <v>Scheme for Working Women’s Hostels – India.gov.in</v>
      </c>
      <c r="S28" s="16" t="str">
        <f>HYPERLINK("https://manuu.edu.in/sites/default/files/MoreNotifications/2024-04/Working_Women_Hostel_about_revised_about.pdf","Working Women’s Hostels – Revised Scheme Guidelines (MoWCD, 2017)")</f>
        <v>Working Women’s Hostels – Revised Scheme Guidelines (MoWCD, 2017)</v>
      </c>
    </row>
    <row r="29" spans="1:19" ht="112">
      <c r="A29" s="14">
        <v>28</v>
      </c>
      <c r="B29" s="14" t="s">
        <v>233</v>
      </c>
      <c r="C29" s="14" t="s">
        <v>234</v>
      </c>
      <c r="D29" s="14">
        <v>2010</v>
      </c>
      <c r="E29" s="14" t="s">
        <v>20</v>
      </c>
      <c r="F29" s="15">
        <v>40634</v>
      </c>
      <c r="G29" s="14" t="s">
        <v>558</v>
      </c>
      <c r="H29" s="14" t="s">
        <v>77</v>
      </c>
      <c r="I29" s="14" t="s">
        <v>22</v>
      </c>
      <c r="J29" s="14" t="s">
        <v>559</v>
      </c>
      <c r="K29" s="14" t="s">
        <v>235</v>
      </c>
      <c r="L29" s="14" t="s">
        <v>593</v>
      </c>
      <c r="M29" s="14" t="s">
        <v>236</v>
      </c>
      <c r="N29" s="14" t="s">
        <v>565</v>
      </c>
      <c r="O29" s="14" t="s">
        <v>584</v>
      </c>
      <c r="P29" s="14" t="s">
        <v>237</v>
      </c>
      <c r="Q29" s="14" t="s">
        <v>238</v>
      </c>
      <c r="R29" s="16" t="str">
        <f>HYPERLINK("https://www.india.gov.in/rajiv-gandhi-scheme-empowerment-adolescent-girls-rgseag-sabla-ministry-women-child-development","Govt portal: SABLA overview")</f>
        <v>Govt portal: SABLA overview</v>
      </c>
      <c r="S29" s="16" t="str">
        <f>HYPERLINK("https://socialwelfare.tripura.gov.in/sites/default/files/Implementation%20Guideline%20of%20SABLA.pdf","RGSEAG‑SABLA Implementation Guidelines (Govt)")</f>
        <v>RGSEAG‑SABLA Implementation Guidelines (Govt)</v>
      </c>
    </row>
    <row r="30" spans="1:19" ht="112">
      <c r="A30" s="14">
        <v>29</v>
      </c>
      <c r="B30" s="14" t="s">
        <v>239</v>
      </c>
      <c r="C30" s="14" t="s">
        <v>240</v>
      </c>
      <c r="D30" s="14">
        <v>2013</v>
      </c>
      <c r="E30" s="14" t="s">
        <v>20</v>
      </c>
      <c r="F30" s="15">
        <v>41617</v>
      </c>
      <c r="G30" s="14" t="s">
        <v>241</v>
      </c>
      <c r="H30" s="14" t="s">
        <v>242</v>
      </c>
      <c r="I30" s="14" t="s">
        <v>22</v>
      </c>
      <c r="J30" s="14" t="s">
        <v>243</v>
      </c>
      <c r="K30" s="14" t="s">
        <v>244</v>
      </c>
      <c r="L30" s="14" t="s">
        <v>594</v>
      </c>
      <c r="M30" s="14" t="s">
        <v>245</v>
      </c>
      <c r="N30" s="14" t="s">
        <v>246</v>
      </c>
      <c r="O30" s="14" t="s">
        <v>595</v>
      </c>
      <c r="P30" s="14" t="s">
        <v>538</v>
      </c>
      <c r="Q30" s="14" t="s">
        <v>247</v>
      </c>
      <c r="R30" s="16" t="str">
        <f>HYPERLINK("https://dpe.gov.in/en/publications-guidelines/other-reports/prevention-sexual-harassment-women-workplace?utm_source=chatgpt.com","Sexual Harassment Act 2013 – MoWCD")</f>
        <v>Sexual Harassment Act 2013 – MoWCD</v>
      </c>
      <c r="S30" s="16" t="str">
        <f>HYPERLINK("https://financialservices.gov.in/beta/sites/default/files/2024-08/HANDBOOK-POSH.pdf","MWCD 2015 POSH Handbook")</f>
        <v>MWCD 2015 POSH Handbook</v>
      </c>
    </row>
    <row r="31" spans="1:19" ht="112">
      <c r="A31" s="14">
        <v>30</v>
      </c>
      <c r="B31" s="14" t="s">
        <v>248</v>
      </c>
      <c r="C31" s="14" t="s">
        <v>249</v>
      </c>
      <c r="D31" s="14" t="s">
        <v>250</v>
      </c>
      <c r="E31" s="14" t="s">
        <v>251</v>
      </c>
      <c r="F31" s="14" t="s">
        <v>252</v>
      </c>
      <c r="G31" s="14" t="s">
        <v>596</v>
      </c>
      <c r="H31" s="14" t="s">
        <v>77</v>
      </c>
      <c r="I31" s="14" t="s">
        <v>22</v>
      </c>
      <c r="J31" s="14" t="s">
        <v>253</v>
      </c>
      <c r="K31" s="14" t="s">
        <v>254</v>
      </c>
      <c r="L31" s="14" t="s">
        <v>255</v>
      </c>
      <c r="M31" s="14" t="s">
        <v>256</v>
      </c>
      <c r="N31" s="14" t="s">
        <v>257</v>
      </c>
      <c r="O31" s="14" t="s">
        <v>585</v>
      </c>
      <c r="P31" s="14" t="s">
        <v>560</v>
      </c>
      <c r="Q31" s="14" t="s">
        <v>258</v>
      </c>
      <c r="R31" s="16" t="str">
        <f>HYPERLINK("https://www.india.gov.in/national-creche-scheme-children-working-mothers","National Crèche Scheme – India Govt Portal")</f>
        <v>National Crèche Scheme – India Govt Portal</v>
      </c>
      <c r="S31" s="16" t="str">
        <f>HYPERLINK("https://missionshakti.wcd.gov.in/public/documents/whatsnew/Approved_AWCC_Sop.pdf","PALNA - Standard Operating Procedure")</f>
        <v>PALNA - Standard Operating Procedure</v>
      </c>
    </row>
    <row r="32" spans="1:19" ht="112">
      <c r="A32" s="14">
        <v>31</v>
      </c>
      <c r="B32" s="14" t="s">
        <v>259</v>
      </c>
      <c r="C32" s="14" t="s">
        <v>260</v>
      </c>
      <c r="D32" s="14">
        <v>1993</v>
      </c>
      <c r="E32" s="14" t="s">
        <v>20</v>
      </c>
      <c r="F32" s="15">
        <v>34227</v>
      </c>
      <c r="G32" s="14" t="s">
        <v>261</v>
      </c>
      <c r="H32" s="14" t="s">
        <v>77</v>
      </c>
      <c r="I32" s="14" t="s">
        <v>22</v>
      </c>
      <c r="J32" s="14" t="s">
        <v>262</v>
      </c>
      <c r="K32" s="14" t="s">
        <v>263</v>
      </c>
      <c r="L32" s="14" t="s">
        <v>264</v>
      </c>
      <c r="M32" s="14" t="s">
        <v>265</v>
      </c>
      <c r="N32" s="14" t="s">
        <v>266</v>
      </c>
      <c r="O32" s="14" t="s">
        <v>495</v>
      </c>
      <c r="P32" s="14" t="s">
        <v>267</v>
      </c>
      <c r="Q32" s="14" t="s">
        <v>268</v>
      </c>
      <c r="R32" s="16" t="str">
        <f>HYPERLINK("https://www.india.gov.in/official-website-rashtriya-mahila-kosh","Rashtriya Mahila Kosh – Official Scheme Portal (MoWCD)")</f>
        <v>Rashtriya Mahila Kosh – Official Scheme Portal (MoWCD)</v>
      </c>
      <c r="S32" s="16" t="str">
        <f>HYPERLINK("https://sansad.in/getFile/loksabhaquestions/annex/11/AS38.pdf?source=pqals","Lok Sabha reply: RMK corpus ₹100 Cr Feb 2017")</f>
        <v>Lok Sabha reply: RMK corpus ₹100 Cr Feb 2017</v>
      </c>
    </row>
    <row r="33" spans="1:19" ht="126">
      <c r="A33" s="14">
        <v>32</v>
      </c>
      <c r="B33" s="14" t="s">
        <v>269</v>
      </c>
      <c r="C33" s="14" t="s">
        <v>270</v>
      </c>
      <c r="D33" s="14">
        <v>1986</v>
      </c>
      <c r="E33" s="14" t="s">
        <v>20</v>
      </c>
      <c r="F33" s="15">
        <v>31503</v>
      </c>
      <c r="G33" s="14" t="s">
        <v>271</v>
      </c>
      <c r="H33" s="14" t="s">
        <v>77</v>
      </c>
      <c r="I33" s="14" t="s">
        <v>22</v>
      </c>
      <c r="J33" s="14" t="s">
        <v>272</v>
      </c>
      <c r="K33" s="14" t="s">
        <v>273</v>
      </c>
      <c r="L33" s="14" t="s">
        <v>274</v>
      </c>
      <c r="M33" s="14" t="s">
        <v>275</v>
      </c>
      <c r="N33" s="14" t="s">
        <v>276</v>
      </c>
      <c r="O33" s="14" t="s">
        <v>586</v>
      </c>
      <c r="P33" s="14" t="s">
        <v>277</v>
      </c>
      <c r="Q33" s="14" t="s">
        <v>278</v>
      </c>
      <c r="R33" s="16" t="str">
        <f>HYPERLINK("https://www.india.gov.in/support-training-and-employment-programme-women","STEP – India.gov.in")</f>
        <v>STEP – India.gov.in</v>
      </c>
      <c r="S33" s="16" t="str">
        <f>HYPERLINK("https://static.vikaspedia.in/media/files_en/social-welfare/ngo-voluntary-sector-1/government-of-india-schemes-for-ngos/support-to-training-and-employment.pdf","STEP Scheme Guidelines PDF")</f>
        <v>STEP Scheme Guidelines PDF</v>
      </c>
    </row>
    <row r="34" spans="1:19" ht="128.25" customHeight="1">
      <c r="A34" s="14">
        <v>33</v>
      </c>
      <c r="B34" s="14" t="s">
        <v>279</v>
      </c>
      <c r="C34" s="14" t="s">
        <v>280</v>
      </c>
      <c r="D34" s="14" t="s">
        <v>281</v>
      </c>
      <c r="E34" s="14" t="s">
        <v>282</v>
      </c>
      <c r="F34" s="15">
        <v>42095</v>
      </c>
      <c r="G34" s="14" t="s">
        <v>283</v>
      </c>
      <c r="H34" s="14" t="s">
        <v>226</v>
      </c>
      <c r="I34" s="14" t="s">
        <v>22</v>
      </c>
      <c r="J34" s="14" t="s">
        <v>284</v>
      </c>
      <c r="K34" s="14" t="s">
        <v>285</v>
      </c>
      <c r="L34" s="14" t="s">
        <v>561</v>
      </c>
      <c r="M34" s="14" t="s">
        <v>286</v>
      </c>
      <c r="N34" s="14" t="s">
        <v>287</v>
      </c>
      <c r="O34" s="14" t="s">
        <v>496</v>
      </c>
      <c r="P34" s="14" t="s">
        <v>539</v>
      </c>
      <c r="Q34" s="14" t="s">
        <v>288</v>
      </c>
      <c r="R34" s="16" t="str">
        <f>HYPERLINK("https://wcd.delhi.gov.in/wcd/women-welfare-empowerment-wec-branch","MWCD OSC Official Portal")</f>
        <v>MWCD OSC Official Portal</v>
      </c>
      <c r="S34" s="16" t="str">
        <f>HYPERLINK("https://socialwelfare.tripura.gov.in/sites/default/files/GUIDELINES%20FOR%20ONE%20STOP%20CENTER%20SCHEME.pdf","MWCD OSC Guidelines Dec 2017")</f>
        <v>MWCD OSC Guidelines Dec 2017</v>
      </c>
    </row>
    <row r="35" spans="1:19" ht="84">
      <c r="A35" s="14">
        <v>34</v>
      </c>
      <c r="B35" s="14" t="s">
        <v>289</v>
      </c>
      <c r="C35" s="14" t="s">
        <v>290</v>
      </c>
      <c r="D35" s="14">
        <v>2016</v>
      </c>
      <c r="E35" s="14" t="s">
        <v>20</v>
      </c>
      <c r="F35" s="15">
        <v>42461</v>
      </c>
      <c r="G35" s="14" t="s">
        <v>291</v>
      </c>
      <c r="H35" s="14" t="s">
        <v>77</v>
      </c>
      <c r="I35" s="14" t="s">
        <v>22</v>
      </c>
      <c r="J35" s="14" t="s">
        <v>292</v>
      </c>
      <c r="K35" s="14" t="s">
        <v>293</v>
      </c>
      <c r="L35" s="14" t="s">
        <v>294</v>
      </c>
      <c r="M35" s="14" t="s">
        <v>295</v>
      </c>
      <c r="N35" s="14" t="s">
        <v>296</v>
      </c>
      <c r="O35" s="14" t="s">
        <v>501</v>
      </c>
      <c r="P35" s="14" t="s">
        <v>297</v>
      </c>
      <c r="Q35" s="14" t="s">
        <v>298</v>
      </c>
      <c r="R35" s="16" t="str">
        <f>HYPERLINK("https://www.india.gov.in/spotlight/swadhar-greh-scheme","Swadhar Greh Scheme – IndiaGov")</f>
        <v>Swadhar Greh Scheme – IndiaGov</v>
      </c>
      <c r="S35" s="16" t="str">
        <f>HYPERLINK("https://cgwcd.gov.in/sites/default/files/annuxe-2.pdf","MWCD Scheme Guidelines Annexure 2018")</f>
        <v>MWCD Scheme Guidelines Annexure 2018</v>
      </c>
    </row>
    <row r="36" spans="1:19" ht="98">
      <c r="A36" s="14">
        <v>35</v>
      </c>
      <c r="B36" s="14" t="s">
        <v>299</v>
      </c>
      <c r="C36" s="14" t="s">
        <v>300</v>
      </c>
      <c r="D36" s="14">
        <v>2016</v>
      </c>
      <c r="E36" s="14" t="s">
        <v>301</v>
      </c>
      <c r="F36" s="15">
        <v>42552</v>
      </c>
      <c r="G36" s="14" t="s">
        <v>302</v>
      </c>
      <c r="H36" s="14" t="s">
        <v>303</v>
      </c>
      <c r="I36" s="14" t="s">
        <v>304</v>
      </c>
      <c r="J36" s="14" t="s">
        <v>305</v>
      </c>
      <c r="K36" s="14" t="s">
        <v>306</v>
      </c>
      <c r="L36" s="14" t="s">
        <v>307</v>
      </c>
      <c r="M36" s="14" t="s">
        <v>308</v>
      </c>
      <c r="N36" s="14" t="s">
        <v>309</v>
      </c>
      <c r="O36" s="14" t="s">
        <v>497</v>
      </c>
      <c r="P36" s="14" t="s">
        <v>310</v>
      </c>
      <c r="Q36" s="14" t="s">
        <v>605</v>
      </c>
      <c r="R36" s="16" t="str">
        <f>HYPERLINK("https://www.india.gov.in/mahila-police-volunteers-ministry-women-child-development","MPV - National Portal")</f>
        <v>MPV - National Portal</v>
      </c>
      <c r="S36" s="16" t="str">
        <f>HYPERLINK("https://www.mha.gov.in/sites/default/files/2022-09/womenSafetyDiv_AdvisortSTSC_10042019%5B1%5D.pdf","Intorduction to MPV - MoWCD")</f>
        <v>Intorduction to MPV - MoWCD</v>
      </c>
    </row>
    <row r="37" spans="1:19" ht="112">
      <c r="A37" s="14">
        <v>36</v>
      </c>
      <c r="B37" s="14" t="s">
        <v>311</v>
      </c>
      <c r="C37" s="14" t="s">
        <v>312</v>
      </c>
      <c r="D37" s="14">
        <v>2001</v>
      </c>
      <c r="E37" s="14" t="s">
        <v>20</v>
      </c>
      <c r="F37" s="15">
        <v>36970</v>
      </c>
      <c r="G37" s="14" t="s">
        <v>313</v>
      </c>
      <c r="H37" s="14" t="s">
        <v>77</v>
      </c>
      <c r="I37" s="14" t="s">
        <v>22</v>
      </c>
      <c r="J37" s="14" t="s">
        <v>314</v>
      </c>
      <c r="K37" s="14" t="s">
        <v>315</v>
      </c>
      <c r="L37" s="14" t="s">
        <v>316</v>
      </c>
      <c r="M37" s="14" t="s">
        <v>317</v>
      </c>
      <c r="N37" s="14" t="s">
        <v>318</v>
      </c>
      <c r="O37" s="14" t="s">
        <v>562</v>
      </c>
      <c r="P37" s="14" t="s">
        <v>540</v>
      </c>
      <c r="Q37" s="14" t="s">
        <v>319</v>
      </c>
      <c r="R37" s="16" t="str">
        <f>HYPERLINK("https://www.odishapolice.gov.in/sites/default/files/PDF/National%20Policy%20For%20The%20Empowerment%20Of%20Women2001.pdf","National Policy for Empowerment of Women 2001 – MWCD PDF")</f>
        <v>National Policy for Empowerment of Women 2001 – MWCD PDF</v>
      </c>
      <c r="S37" s="16" t="str">
        <f>HYPERLINK("https://pib.gov.in/newsite/PrintRelease.aspx?relid=103327","PIB Press Release: Policy Update, 2014")</f>
        <v>PIB Press Release: Policy Update, 2014</v>
      </c>
    </row>
    <row r="38" spans="1:19" ht="126">
      <c r="A38" s="14">
        <v>37</v>
      </c>
      <c r="B38" s="14" t="s">
        <v>320</v>
      </c>
      <c r="C38" s="14" t="s">
        <v>321</v>
      </c>
      <c r="D38" s="14">
        <v>2015</v>
      </c>
      <c r="E38" s="14" t="s">
        <v>20</v>
      </c>
      <c r="F38" s="15">
        <v>42026</v>
      </c>
      <c r="G38" s="14" t="s">
        <v>322</v>
      </c>
      <c r="H38" s="14" t="s">
        <v>323</v>
      </c>
      <c r="I38" s="14" t="s">
        <v>22</v>
      </c>
      <c r="J38" s="14" t="s">
        <v>324</v>
      </c>
      <c r="K38" s="14" t="s">
        <v>325</v>
      </c>
      <c r="L38" s="14" t="s">
        <v>326</v>
      </c>
      <c r="M38" s="14" t="s">
        <v>327</v>
      </c>
      <c r="N38" s="14" t="s">
        <v>328</v>
      </c>
      <c r="O38" s="14" t="s">
        <v>498</v>
      </c>
      <c r="P38" s="14" t="s">
        <v>541</v>
      </c>
      <c r="Q38" s="14" t="s">
        <v>329</v>
      </c>
      <c r="R38" s="20" t="str">
        <f>HYPERLINK("https://icds.gov.in/en/schemes/beti-bachao-beti-padhao","BBBP - National Portal")</f>
        <v>BBBP - National Portal</v>
      </c>
      <c r="S38" s="16" t="str">
        <f>HYPERLINK("https://mahilakalyan.up.nic.in/BBBP%20Guideline.pdf","BBBP National Implementation Guidelines (May 2019) – MoWCD")</f>
        <v>BBBP National Implementation Guidelines (May 2019) – MoWCD</v>
      </c>
    </row>
    <row r="39" spans="1:19" ht="112">
      <c r="A39" s="14">
        <v>38</v>
      </c>
      <c r="B39" s="14" t="s">
        <v>330</v>
      </c>
      <c r="C39" s="14" t="s">
        <v>331</v>
      </c>
      <c r="D39" s="14">
        <v>2023</v>
      </c>
      <c r="E39" s="14" t="s">
        <v>20</v>
      </c>
      <c r="F39" s="15">
        <v>45197</v>
      </c>
      <c r="G39" s="14" t="s">
        <v>332</v>
      </c>
      <c r="H39" s="14" t="s">
        <v>333</v>
      </c>
      <c r="I39" s="14" t="s">
        <v>22</v>
      </c>
      <c r="J39" s="14" t="s">
        <v>334</v>
      </c>
      <c r="K39" s="14" t="s">
        <v>335</v>
      </c>
      <c r="L39" s="14" t="s">
        <v>336</v>
      </c>
      <c r="M39" s="14" t="s">
        <v>337</v>
      </c>
      <c r="N39" s="14" t="s">
        <v>338</v>
      </c>
      <c r="O39" s="14" t="s">
        <v>500</v>
      </c>
      <c r="P39" s="14" t="s">
        <v>542</v>
      </c>
      <c r="Q39" s="14" t="s">
        <v>339</v>
      </c>
      <c r="R39" s="16" t="str">
        <f>HYPERLINK("https://sansad.in/getFile/BillsTexts/LSBillTexts/PassedBothHouses/const%20128th%20amend104202340415PM.pdf?source=legislation","Official Gazette Notification – Constitution (128th Amendment) Act, 2023")</f>
        <v>Official Gazette Notification – Constitution (128th Amendment) Act, 2023</v>
      </c>
      <c r="S39" s="16" t="str">
        <f>HYPERLINK("https://prsindia.org/billtrack/the-constitution-one-hundred-twenty-eighth-amendment-bill-2023","PRS Release – Women's Reservation Act Passed, Sept 2023")</f>
        <v>PRS Release – Women's Reservation Act Passed, Sept 2023</v>
      </c>
    </row>
    <row r="40" spans="1:19" ht="126">
      <c r="A40" s="14">
        <v>39</v>
      </c>
      <c r="B40" s="14" t="s">
        <v>340</v>
      </c>
      <c r="C40" s="14" t="s">
        <v>341</v>
      </c>
      <c r="D40" s="14">
        <v>2005</v>
      </c>
      <c r="E40" s="14" t="s">
        <v>20</v>
      </c>
      <c r="F40" s="15">
        <v>39016</v>
      </c>
      <c r="G40" s="14" t="s">
        <v>342</v>
      </c>
      <c r="H40" s="14" t="s">
        <v>77</v>
      </c>
      <c r="I40" s="14" t="s">
        <v>22</v>
      </c>
      <c r="J40" s="14" t="s">
        <v>343</v>
      </c>
      <c r="K40" s="14" t="s">
        <v>344</v>
      </c>
      <c r="L40" s="14" t="s">
        <v>345</v>
      </c>
      <c r="M40" s="14" t="s">
        <v>346</v>
      </c>
      <c r="N40" s="14" t="s">
        <v>347</v>
      </c>
      <c r="O40" s="14" t="s">
        <v>499</v>
      </c>
      <c r="P40" s="14" t="s">
        <v>543</v>
      </c>
      <c r="Q40" s="14" t="s">
        <v>348</v>
      </c>
      <c r="R40" s="16" t="str">
        <f>HYPERLINK("https://www.indiacode.nic.in/bitstream/123456789/15436/1/protection_of_women_from_domestic_violence_act%2C_2005.pdf","Protection of Women from Domestic Violence Act 2005 – IndiaCode")</f>
        <v>Protection of Women from Domestic Violence Act 2005 – IndiaCode</v>
      </c>
      <c r="S40" s="16" t="str">
        <f>HYPERLINK("https://pib.gov.in/Pressreleaseshare.aspx?PRID=1576055","PIB Release: Implementation of Domestic Violence Law, Jun 2019")</f>
        <v>PIB Release: Implementation of Domestic Violence Law, Jun 2019</v>
      </c>
    </row>
    <row r="41" spans="1:19" s="12" customFormat="1" ht="112">
      <c r="A41" s="21">
        <v>40</v>
      </c>
      <c r="B41" s="21" t="s">
        <v>349</v>
      </c>
      <c r="C41" s="21" t="s">
        <v>350</v>
      </c>
      <c r="D41" s="21">
        <v>2022</v>
      </c>
      <c r="E41" s="21" t="s">
        <v>351</v>
      </c>
      <c r="F41" s="22">
        <v>44604</v>
      </c>
      <c r="G41" s="21" t="s">
        <v>626</v>
      </c>
      <c r="H41" s="21" t="s">
        <v>352</v>
      </c>
      <c r="I41" s="21" t="s">
        <v>22</v>
      </c>
      <c r="J41" s="21" t="s">
        <v>138</v>
      </c>
      <c r="K41" s="21" t="s">
        <v>353</v>
      </c>
      <c r="L41" s="21" t="s">
        <v>537</v>
      </c>
      <c r="M41" s="21" t="s">
        <v>354</v>
      </c>
      <c r="N41" s="21" t="s">
        <v>355</v>
      </c>
      <c r="O41" s="21" t="s">
        <v>627</v>
      </c>
      <c r="P41" s="21" t="s">
        <v>356</v>
      </c>
      <c r="Q41" s="21" t="s">
        <v>357</v>
      </c>
      <c r="R41" s="23" t="str">
        <f>HYPERLINK("https://smile-b.dosje.gov.in/","SMILE - National Portal")</f>
        <v>SMILE - National Portal</v>
      </c>
      <c r="S41" s="23" t="str">
        <f>HYPERLINK("https://socialjustice.gov.in/schemes/99","MoSJE – SMILE Scheme Guidelines Feb 2022 PDF")</f>
        <v>MoSJE – SMILE Scheme Guidelines Feb 2022 PDF</v>
      </c>
    </row>
    <row r="42" spans="1:19">
      <c r="A42" s="24" t="s">
        <v>358</v>
      </c>
      <c r="B42" s="14"/>
      <c r="C42" s="14"/>
      <c r="D42" s="14"/>
      <c r="E42" s="14"/>
      <c r="F42" s="14"/>
      <c r="G42" s="14"/>
      <c r="H42" s="14"/>
      <c r="I42" s="14"/>
      <c r="J42" s="14"/>
      <c r="K42" s="14"/>
      <c r="L42" s="14"/>
      <c r="M42" s="14"/>
      <c r="N42" s="14"/>
      <c r="O42" s="14"/>
      <c r="P42" s="14"/>
      <c r="Q42" s="14"/>
      <c r="R42" s="14"/>
      <c r="S42" s="14"/>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390A6-925D-4546-8665-0DD8F5120194}">
  <dimension ref="A1:A25"/>
  <sheetViews>
    <sheetView showGridLines="0" workbookViewId="0">
      <selection activeCell="J29" sqref="J29"/>
    </sheetView>
  </sheetViews>
  <sheetFormatPr defaultRowHeight="14"/>
  <cols>
    <col min="1" max="16384" width="8.7265625" style="26"/>
  </cols>
  <sheetData>
    <row r="1" spans="1:1" ht="17">
      <c r="A1" s="25" t="s">
        <v>359</v>
      </c>
    </row>
    <row r="3" spans="1:1">
      <c r="A3" s="26" t="s">
        <v>360</v>
      </c>
    </row>
    <row r="5" spans="1:1">
      <c r="A5" s="27" t="s">
        <v>361</v>
      </c>
    </row>
    <row r="7" spans="1:1">
      <c r="A7" s="26" t="s">
        <v>362</v>
      </c>
    </row>
    <row r="9" spans="1:1">
      <c r="A9" s="27" t="s">
        <v>363</v>
      </c>
    </row>
    <row r="11" spans="1:1">
      <c r="A11" s="26" t="s">
        <v>364</v>
      </c>
    </row>
    <row r="13" spans="1:1">
      <c r="A13" s="27" t="s">
        <v>365</v>
      </c>
    </row>
    <row r="15" spans="1:1">
      <c r="A15" s="26" t="s">
        <v>366</v>
      </c>
    </row>
    <row r="17" spans="1:1">
      <c r="A17" s="27" t="s">
        <v>367</v>
      </c>
    </row>
    <row r="19" spans="1:1">
      <c r="A19" s="26" t="s">
        <v>368</v>
      </c>
    </row>
    <row r="20" spans="1:1">
      <c r="A20" s="28"/>
    </row>
    <row r="21" spans="1:1">
      <c r="A21" s="29" t="s">
        <v>646</v>
      </c>
    </row>
    <row r="22" spans="1:1">
      <c r="A22" s="28"/>
    </row>
    <row r="23" spans="1:1">
      <c r="A23" s="29" t="s">
        <v>647</v>
      </c>
    </row>
    <row r="24" spans="1:1">
      <c r="A24" s="28"/>
    </row>
    <row r="25" spans="1:1">
      <c r="A25" s="29" t="s">
        <v>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503E-F000-431C-AC3D-B2BBC221ECA2}">
  <dimension ref="A1:C34"/>
  <sheetViews>
    <sheetView topLeftCell="A11" zoomScale="70" zoomScaleNormal="70" workbookViewId="0">
      <selection activeCell="B13" sqref="B13"/>
    </sheetView>
  </sheetViews>
  <sheetFormatPr defaultColWidth="8.54296875" defaultRowHeight="15.5"/>
  <cols>
    <col min="1" max="1" width="43.54296875" style="1" customWidth="1"/>
    <col min="2" max="2" width="66.54296875" style="1" customWidth="1"/>
    <col min="3" max="3" width="61" style="1" customWidth="1"/>
    <col min="4" max="16384" width="8.54296875" style="1"/>
  </cols>
  <sheetData>
    <row r="1" spans="1:3">
      <c r="A1" s="2" t="s">
        <v>369</v>
      </c>
      <c r="B1" s="2" t="s">
        <v>370</v>
      </c>
      <c r="C1" s="2" t="s">
        <v>371</v>
      </c>
    </row>
    <row r="2" spans="1:3">
      <c r="A2" s="2" t="s">
        <v>65</v>
      </c>
      <c r="B2" s="1" t="s">
        <v>372</v>
      </c>
      <c r="C2" s="1" t="s">
        <v>373</v>
      </c>
    </row>
    <row r="3" spans="1:3">
      <c r="A3" s="2" t="s">
        <v>74</v>
      </c>
      <c r="B3" s="1" t="s">
        <v>374</v>
      </c>
      <c r="C3" s="1" t="s">
        <v>375</v>
      </c>
    </row>
    <row r="4" spans="1:3" ht="30">
      <c r="A4" s="2" t="s">
        <v>79</v>
      </c>
      <c r="B4" s="1" t="s">
        <v>376</v>
      </c>
      <c r="C4" s="1" t="s">
        <v>377</v>
      </c>
    </row>
    <row r="5" spans="1:3" ht="30">
      <c r="A5" s="2" t="s">
        <v>85</v>
      </c>
      <c r="B5" s="1" t="s">
        <v>378</v>
      </c>
      <c r="C5" s="1" t="s">
        <v>379</v>
      </c>
    </row>
    <row r="6" spans="1:3" ht="30">
      <c r="A6" s="2" t="s">
        <v>269</v>
      </c>
      <c r="B6" s="1" t="s">
        <v>380</v>
      </c>
      <c r="C6" s="1" t="s">
        <v>381</v>
      </c>
    </row>
    <row r="7" spans="1:3">
      <c r="A7" s="2" t="s">
        <v>99</v>
      </c>
      <c r="B7" s="1" t="s">
        <v>382</v>
      </c>
      <c r="C7" s="1" t="s">
        <v>383</v>
      </c>
    </row>
    <row r="8" spans="1:3">
      <c r="A8" s="2" t="s">
        <v>384</v>
      </c>
      <c r="B8" s="1" t="s">
        <v>385</v>
      </c>
      <c r="C8" s="1" t="s">
        <v>386</v>
      </c>
    </row>
    <row r="9" spans="1:3" ht="31">
      <c r="A9" s="2" t="s">
        <v>112</v>
      </c>
      <c r="B9" s="1" t="s">
        <v>387</v>
      </c>
      <c r="C9" s="1" t="s">
        <v>388</v>
      </c>
    </row>
    <row r="10" spans="1:3" ht="31">
      <c r="A10" s="2" t="s">
        <v>389</v>
      </c>
      <c r="B10" s="1" t="s">
        <v>390</v>
      </c>
      <c r="C10" s="1" t="s">
        <v>391</v>
      </c>
    </row>
    <row r="11" spans="1:3" ht="30">
      <c r="A11" s="2" t="s">
        <v>392</v>
      </c>
      <c r="B11" s="1" t="s">
        <v>393</v>
      </c>
      <c r="C11" s="1" t="s">
        <v>394</v>
      </c>
    </row>
    <row r="12" spans="1:3" ht="30">
      <c r="A12" s="2" t="s">
        <v>395</v>
      </c>
      <c r="B12" s="1" t="s">
        <v>396</v>
      </c>
      <c r="C12" s="1" t="s">
        <v>397</v>
      </c>
    </row>
    <row r="13" spans="1:3">
      <c r="A13" s="2" t="s">
        <v>143</v>
      </c>
      <c r="B13" s="1" t="s">
        <v>398</v>
      </c>
      <c r="C13" s="1" t="s">
        <v>399</v>
      </c>
    </row>
    <row r="14" spans="1:3" ht="30">
      <c r="A14" s="2" t="s">
        <v>151</v>
      </c>
      <c r="B14" s="1" t="s">
        <v>400</v>
      </c>
      <c r="C14" s="1" t="s">
        <v>401</v>
      </c>
    </row>
    <row r="15" spans="1:3" ht="30">
      <c r="A15" s="10" t="s">
        <v>156</v>
      </c>
      <c r="B15" s="11" t="s">
        <v>402</v>
      </c>
      <c r="C15" s="11" t="s">
        <v>403</v>
      </c>
    </row>
    <row r="16" spans="1:3" ht="30">
      <c r="A16" s="10" t="s">
        <v>162</v>
      </c>
      <c r="B16" s="11" t="s">
        <v>404</v>
      </c>
      <c r="C16" s="11" t="s">
        <v>405</v>
      </c>
    </row>
    <row r="17" spans="1:3" ht="30">
      <c r="A17" s="10" t="s">
        <v>406</v>
      </c>
      <c r="B17" s="11" t="s">
        <v>407</v>
      </c>
      <c r="C17" s="11" t="s">
        <v>408</v>
      </c>
    </row>
    <row r="18" spans="1:3" ht="30">
      <c r="A18" s="10" t="s">
        <v>409</v>
      </c>
      <c r="B18" s="11" t="s">
        <v>410</v>
      </c>
      <c r="C18" s="11" t="s">
        <v>411</v>
      </c>
    </row>
    <row r="19" spans="1:3">
      <c r="A19" s="2" t="s">
        <v>412</v>
      </c>
      <c r="B19" s="1" t="s">
        <v>413</v>
      </c>
      <c r="C19" s="1" t="s">
        <v>414</v>
      </c>
    </row>
    <row r="20" spans="1:3">
      <c r="A20" s="2" t="s">
        <v>193</v>
      </c>
      <c r="B20" s="1" t="s">
        <v>415</v>
      </c>
      <c r="C20" s="1" t="s">
        <v>416</v>
      </c>
    </row>
    <row r="21" spans="1:3">
      <c r="A21" s="2" t="s">
        <v>203</v>
      </c>
      <c r="B21" s="1" t="s">
        <v>417</v>
      </c>
      <c r="C21" s="1" t="s">
        <v>418</v>
      </c>
    </row>
    <row r="22" spans="1:3">
      <c r="A22" s="2" t="s">
        <v>210</v>
      </c>
      <c r="B22" s="1" t="s">
        <v>419</v>
      </c>
      <c r="C22" s="1" t="s">
        <v>420</v>
      </c>
    </row>
    <row r="23" spans="1:3">
      <c r="A23" s="2" t="s">
        <v>421</v>
      </c>
      <c r="B23" s="1" t="s">
        <v>422</v>
      </c>
      <c r="C23" s="1" t="s">
        <v>423</v>
      </c>
    </row>
    <row r="24" spans="1:3" ht="31">
      <c r="A24" s="2" t="s">
        <v>233</v>
      </c>
      <c r="B24" s="1" t="s">
        <v>424</v>
      </c>
      <c r="C24" s="1" t="s">
        <v>425</v>
      </c>
    </row>
    <row r="25" spans="1:3" ht="31">
      <c r="A25" s="2" t="s">
        <v>426</v>
      </c>
      <c r="B25" s="1" t="s">
        <v>427</v>
      </c>
      <c r="C25" s="1" t="s">
        <v>428</v>
      </c>
    </row>
    <row r="26" spans="1:3" ht="31">
      <c r="A26" s="2" t="s">
        <v>429</v>
      </c>
      <c r="B26" s="1" t="s">
        <v>430</v>
      </c>
      <c r="C26" s="1" t="s">
        <v>431</v>
      </c>
    </row>
    <row r="27" spans="1:3" ht="31">
      <c r="A27" s="2" t="s">
        <v>432</v>
      </c>
      <c r="B27" s="1" t="s">
        <v>433</v>
      </c>
      <c r="C27" s="1" t="s">
        <v>434</v>
      </c>
    </row>
    <row r="28" spans="1:3" ht="31">
      <c r="A28" s="2" t="s">
        <v>269</v>
      </c>
      <c r="B28" s="1" t="s">
        <v>435</v>
      </c>
      <c r="C28" s="1" t="s">
        <v>436</v>
      </c>
    </row>
    <row r="29" spans="1:3" ht="31">
      <c r="A29" s="2" t="s">
        <v>437</v>
      </c>
      <c r="B29" s="1" t="s">
        <v>438</v>
      </c>
      <c r="C29" s="1" t="s">
        <v>439</v>
      </c>
    </row>
    <row r="30" spans="1:3" ht="31">
      <c r="A30" s="2" t="s">
        <v>440</v>
      </c>
      <c r="B30" s="1" t="s">
        <v>441</v>
      </c>
      <c r="C30" s="1" t="s">
        <v>442</v>
      </c>
    </row>
    <row r="31" spans="1:3" ht="31">
      <c r="A31" s="2" t="s">
        <v>443</v>
      </c>
      <c r="B31" s="1" t="s">
        <v>444</v>
      </c>
      <c r="C31" s="1" t="s">
        <v>445</v>
      </c>
    </row>
    <row r="32" spans="1:3" ht="31">
      <c r="A32" s="2" t="s">
        <v>311</v>
      </c>
      <c r="B32" s="1" t="s">
        <v>446</v>
      </c>
      <c r="C32" s="1" t="s">
        <v>447</v>
      </c>
    </row>
    <row r="33" spans="1:3" ht="31">
      <c r="A33" s="2" t="s">
        <v>320</v>
      </c>
      <c r="B33" s="1" t="s">
        <v>448</v>
      </c>
      <c r="C33" s="1" t="s">
        <v>449</v>
      </c>
    </row>
    <row r="34" spans="1:3" ht="31">
      <c r="A34" s="2" t="s">
        <v>450</v>
      </c>
      <c r="B34" s="1" t="s">
        <v>451</v>
      </c>
      <c r="C34" s="1" t="s">
        <v>452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334C-29B1-4E24-9257-C887C09CE742}">
  <dimension ref="A1:C12"/>
  <sheetViews>
    <sheetView zoomScale="70" zoomScaleNormal="70" workbookViewId="0">
      <selection activeCell="A2" sqref="A2:C12"/>
    </sheetView>
  </sheetViews>
  <sheetFormatPr defaultColWidth="8.54296875" defaultRowHeight="15.5"/>
  <cols>
    <col min="1" max="3" width="58.453125" style="9" customWidth="1"/>
    <col min="4" max="16384" width="8.54296875" style="9"/>
  </cols>
  <sheetData>
    <row r="1" spans="1:3">
      <c r="A1" s="2" t="s">
        <v>369</v>
      </c>
      <c r="B1" s="2" t="s">
        <v>370</v>
      </c>
      <c r="C1" s="2" t="s">
        <v>371</v>
      </c>
    </row>
    <row r="2" spans="1:3" ht="31">
      <c r="A2" s="7" t="s">
        <v>233</v>
      </c>
      <c r="B2" s="8" t="s">
        <v>424</v>
      </c>
      <c r="C2" s="8" t="s">
        <v>425</v>
      </c>
    </row>
    <row r="3" spans="1:3" ht="31">
      <c r="A3" s="7" t="s">
        <v>426</v>
      </c>
      <c r="B3" s="8" t="s">
        <v>427</v>
      </c>
      <c r="C3" s="8" t="s">
        <v>428</v>
      </c>
    </row>
    <row r="4" spans="1:3" ht="31">
      <c r="A4" s="7" t="s">
        <v>429</v>
      </c>
      <c r="B4" s="8" t="s">
        <v>430</v>
      </c>
      <c r="C4" s="8" t="s">
        <v>431</v>
      </c>
    </row>
    <row r="5" spans="1:3" ht="31">
      <c r="A5" s="7" t="s">
        <v>432</v>
      </c>
      <c r="B5" s="8" t="s">
        <v>433</v>
      </c>
      <c r="C5" s="8" t="s">
        <v>434</v>
      </c>
    </row>
    <row r="6" spans="1:3" ht="31">
      <c r="A6" s="7" t="s">
        <v>269</v>
      </c>
      <c r="B6" s="8" t="s">
        <v>435</v>
      </c>
      <c r="C6" s="8" t="s">
        <v>436</v>
      </c>
    </row>
    <row r="7" spans="1:3" ht="31">
      <c r="A7" s="7" t="s">
        <v>437</v>
      </c>
      <c r="B7" s="8" t="s">
        <v>438</v>
      </c>
      <c r="C7" s="8" t="s">
        <v>439</v>
      </c>
    </row>
    <row r="8" spans="1:3" ht="31">
      <c r="A8" s="7" t="s">
        <v>440</v>
      </c>
      <c r="B8" s="8" t="s">
        <v>441</v>
      </c>
      <c r="C8" s="8" t="s">
        <v>442</v>
      </c>
    </row>
    <row r="9" spans="1:3" ht="31">
      <c r="A9" s="7" t="s">
        <v>443</v>
      </c>
      <c r="B9" s="8" t="s">
        <v>444</v>
      </c>
      <c r="C9" s="8" t="s">
        <v>445</v>
      </c>
    </row>
    <row r="10" spans="1:3" ht="31">
      <c r="A10" s="7" t="s">
        <v>311</v>
      </c>
      <c r="B10" s="8" t="s">
        <v>446</v>
      </c>
      <c r="C10" s="8" t="s">
        <v>447</v>
      </c>
    </row>
    <row r="11" spans="1:3" ht="31">
      <c r="A11" s="7" t="s">
        <v>320</v>
      </c>
      <c r="B11" s="8" t="s">
        <v>448</v>
      </c>
      <c r="C11" s="8" t="s">
        <v>449</v>
      </c>
    </row>
    <row r="12" spans="1:3" ht="31">
      <c r="A12" s="7" t="s">
        <v>450</v>
      </c>
      <c r="B12" s="8" t="s">
        <v>451</v>
      </c>
      <c r="C12" s="8" t="s">
        <v>452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9E99-FAFA-4189-90B6-E9F273409B2D}">
  <dimension ref="A1:C19"/>
  <sheetViews>
    <sheetView zoomScaleNormal="100" workbookViewId="0">
      <selection activeCell="B22" sqref="B22"/>
    </sheetView>
  </sheetViews>
  <sheetFormatPr defaultColWidth="8.54296875" defaultRowHeight="14.5"/>
  <cols>
    <col min="1" max="1" width="43.54296875" style="4" customWidth="1"/>
    <col min="2" max="2" width="66.54296875" style="4" customWidth="1"/>
    <col min="3" max="3" width="61" style="4" customWidth="1"/>
    <col min="4" max="16384" width="8.54296875" style="4"/>
  </cols>
  <sheetData>
    <row r="1" spans="1:3">
      <c r="A1" s="3" t="s">
        <v>369</v>
      </c>
      <c r="B1" s="3" t="s">
        <v>370</v>
      </c>
      <c r="C1" s="3" t="s">
        <v>371</v>
      </c>
    </row>
    <row r="2" spans="1:3" ht="29">
      <c r="A2" s="3" t="s">
        <v>65</v>
      </c>
      <c r="B2" s="4" t="s">
        <v>453</v>
      </c>
      <c r="C2" s="4" t="s">
        <v>454</v>
      </c>
    </row>
    <row r="3" spans="1:3" ht="29">
      <c r="A3" s="3" t="s">
        <v>74</v>
      </c>
      <c r="B3" s="4" t="s">
        <v>455</v>
      </c>
      <c r="C3" s="4" t="s">
        <v>456</v>
      </c>
    </row>
    <row r="4" spans="1:3" ht="29">
      <c r="A4" s="3" t="s">
        <v>79</v>
      </c>
      <c r="B4" s="4" t="s">
        <v>457</v>
      </c>
      <c r="C4" s="4" t="s">
        <v>458</v>
      </c>
    </row>
    <row r="5" spans="1:3">
      <c r="A5" s="3" t="s">
        <v>85</v>
      </c>
      <c r="B5" s="4" t="s">
        <v>459</v>
      </c>
      <c r="C5" s="4" t="s">
        <v>460</v>
      </c>
    </row>
    <row r="6" spans="1:3" ht="29">
      <c r="A6" s="3" t="s">
        <v>91</v>
      </c>
      <c r="B6" s="4" t="s">
        <v>461</v>
      </c>
      <c r="C6" s="4" t="s">
        <v>462</v>
      </c>
    </row>
    <row r="7" spans="1:3" ht="29">
      <c r="A7" s="3" t="s">
        <v>99</v>
      </c>
      <c r="B7" s="4" t="s">
        <v>463</v>
      </c>
      <c r="C7" s="4" t="s">
        <v>464</v>
      </c>
    </row>
    <row r="8" spans="1:3" ht="29">
      <c r="A8" s="3" t="s">
        <v>465</v>
      </c>
      <c r="B8" s="4" t="s">
        <v>466</v>
      </c>
      <c r="C8" s="4" t="s">
        <v>467</v>
      </c>
    </row>
    <row r="9" spans="1:3" ht="29">
      <c r="A9" s="3" t="s">
        <v>112</v>
      </c>
      <c r="B9" s="4" t="s">
        <v>468</v>
      </c>
      <c r="C9" s="4" t="s">
        <v>469</v>
      </c>
    </row>
    <row r="10" spans="1:3" ht="29">
      <c r="A10" s="3" t="s">
        <v>119</v>
      </c>
      <c r="B10" s="4" t="s">
        <v>470</v>
      </c>
      <c r="C10" s="4" t="s">
        <v>471</v>
      </c>
    </row>
    <row r="11" spans="1:3" ht="29">
      <c r="A11" s="3" t="s">
        <v>392</v>
      </c>
      <c r="B11" s="4" t="s">
        <v>472</v>
      </c>
      <c r="C11" s="4" t="s">
        <v>473</v>
      </c>
    </row>
    <row r="12" spans="1:3" ht="29">
      <c r="A12" s="3" t="s">
        <v>395</v>
      </c>
      <c r="B12" s="4" t="s">
        <v>474</v>
      </c>
      <c r="C12" s="4" t="s">
        <v>475</v>
      </c>
    </row>
    <row r="13" spans="1:3" ht="29">
      <c r="A13" s="3" t="s">
        <v>143</v>
      </c>
      <c r="B13" s="4" t="s">
        <v>476</v>
      </c>
      <c r="C13" s="4" t="s">
        <v>477</v>
      </c>
    </row>
    <row r="14" spans="1:3" ht="29">
      <c r="A14" s="3" t="s">
        <v>151</v>
      </c>
      <c r="B14" s="4" t="s">
        <v>478</v>
      </c>
      <c r="C14" s="4" t="s">
        <v>479</v>
      </c>
    </row>
    <row r="15" spans="1:3" ht="29">
      <c r="A15" s="3" t="s">
        <v>221</v>
      </c>
      <c r="B15" s="4" t="s">
        <v>480</v>
      </c>
      <c r="C15" s="4" t="s">
        <v>481</v>
      </c>
    </row>
    <row r="16" spans="1:3" ht="29">
      <c r="A16" s="5" t="s">
        <v>482</v>
      </c>
      <c r="B16" s="6" t="s">
        <v>483</v>
      </c>
      <c r="C16" s="6" t="s">
        <v>484</v>
      </c>
    </row>
    <row r="17" spans="1:3" ht="43.5">
      <c r="A17" s="5" t="s">
        <v>162</v>
      </c>
      <c r="B17" s="6" t="s">
        <v>485</v>
      </c>
      <c r="C17" s="6" t="s">
        <v>486</v>
      </c>
    </row>
    <row r="18" spans="1:3" ht="29">
      <c r="A18" s="5" t="s">
        <v>406</v>
      </c>
      <c r="B18" s="6" t="s">
        <v>487</v>
      </c>
      <c r="C18" s="6" t="s">
        <v>488</v>
      </c>
    </row>
    <row r="19" spans="1:3" ht="43.5">
      <c r="A19" s="5" t="s">
        <v>489</v>
      </c>
      <c r="B19" s="6" t="s">
        <v>490</v>
      </c>
      <c r="C19" s="6" t="s">
        <v>491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4DDC31-5AF5-47CF-8EFD-92094CA5A382}"/>
</file>

<file path=customXml/itemProps2.xml><?xml version="1.0" encoding="utf-8"?>
<ds:datastoreItem xmlns:ds="http://schemas.openxmlformats.org/officeDocument/2006/customXml" ds:itemID="{12A0168A-E7D1-4E06-B447-D994A07CD15D}"/>
</file>

<file path=customXml/itemProps3.xml><?xml version="1.0" encoding="utf-8"?>
<ds:datastoreItem xmlns:ds="http://schemas.openxmlformats.org/officeDocument/2006/customXml" ds:itemID="{C36870F0-198A-471E-9C18-FD666267BE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Policies impact Area IV</vt:lpstr>
      <vt:lpstr>Search Strategy</vt:lpstr>
      <vt:lpstr>Potential Inclusions</vt:lpstr>
      <vt:lpstr>Potential Inclusions_03</vt:lpstr>
      <vt:lpstr>Potential Inclusions_01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Archis Banerjee</cp:lastModifiedBy>
  <cp:revision/>
  <dcterms:created xsi:type="dcterms:W3CDTF">2015-06-05T18:17:20Z</dcterms:created>
  <dcterms:modified xsi:type="dcterms:W3CDTF">2025-07-25T09:52:02Z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